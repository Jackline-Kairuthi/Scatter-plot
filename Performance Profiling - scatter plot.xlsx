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f54c2ce8ce3e5c26/Desktop/2026/GITHUB PORTFOLIO/Excel/"/>
    </mc:Choice>
  </mc:AlternateContent>
  <xr:revisionPtr revIDLastSave="0" documentId="8_{C65A6B41-C406-43AF-A988-5A7E1E57CAB8}" xr6:coauthVersionLast="47" xr6:coauthVersionMax="47" xr10:uidLastSave="{00000000-0000-0000-0000-000000000000}"/>
  <bookViews>
    <workbookView xWindow="-110" yWindow="-110" windowWidth="19420" windowHeight="10420" xr2:uid="{00000000-000D-0000-FFFF-FFFF00000000}"/>
  </bookViews>
  <sheets>
    <sheet name="Scatter Chart" sheetId="4" r:id="rId1"/>
    <sheet name="Pivots" sheetId="2" r:id="rId2"/>
    <sheet name="Data" sheetId="1" r:id="rId3"/>
  </sheets>
  <definedNames>
    <definedName name="Slicer_Department">#N/A</definedName>
    <definedName name="Slicer_Group">#N/A</definedName>
    <definedName name="Slicer_Period">#N/A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alcChain>
</file>

<file path=xl/sharedStrings.xml><?xml version="1.0" encoding="utf-8"?>
<sst xmlns="http://schemas.openxmlformats.org/spreadsheetml/2006/main" count="1631" uniqueCount="414">
  <si>
    <t>EID</t>
  </si>
  <si>
    <t>Potential</t>
  </si>
  <si>
    <t>Rating</t>
  </si>
  <si>
    <t>8</t>
  </si>
  <si>
    <t>Row Labels</t>
  </si>
  <si>
    <t>Count of EID</t>
  </si>
  <si>
    <t>761</t>
  </si>
  <si>
    <t>0-1</t>
  </si>
  <si>
    <t>446</t>
  </si>
  <si>
    <t>1-2</t>
  </si>
  <si>
    <t>781</t>
  </si>
  <si>
    <t>2-3</t>
  </si>
  <si>
    <t>782</t>
  </si>
  <si>
    <t>3-4</t>
  </si>
  <si>
    <t>765</t>
  </si>
  <si>
    <t>4-5</t>
  </si>
  <si>
    <t>770</t>
  </si>
  <si>
    <t>Grand Total</t>
  </si>
  <si>
    <t>771</t>
  </si>
  <si>
    <t>772</t>
  </si>
  <si>
    <t>774</t>
  </si>
  <si>
    <t>603</t>
  </si>
  <si>
    <t>110</t>
  </si>
  <si>
    <t>Average of Rating</t>
  </si>
  <si>
    <t>138</t>
  </si>
  <si>
    <t>704</t>
  </si>
  <si>
    <t>710</t>
  </si>
  <si>
    <t>152</t>
  </si>
  <si>
    <t>719</t>
  </si>
  <si>
    <t>176</t>
  </si>
  <si>
    <t>725</t>
  </si>
  <si>
    <t>186</t>
  </si>
  <si>
    <t>2</t>
  </si>
  <si>
    <t>454</t>
  </si>
  <si>
    <t>345</t>
  </si>
  <si>
    <t>294</t>
  </si>
  <si>
    <t>207</t>
  </si>
  <si>
    <t>231</t>
  </si>
  <si>
    <t>233</t>
  </si>
  <si>
    <t>262</t>
  </si>
  <si>
    <t>265</t>
  </si>
  <si>
    <t>277</t>
  </si>
  <si>
    <t>303</t>
  </si>
  <si>
    <t>328</t>
  </si>
  <si>
    <t>344</t>
  </si>
  <si>
    <t>363</t>
  </si>
  <si>
    <t>395</t>
  </si>
  <si>
    <t>448</t>
  </si>
  <si>
    <t>449</t>
  </si>
  <si>
    <t>471</t>
  </si>
  <si>
    <t>472</t>
  </si>
  <si>
    <t>480</t>
  </si>
  <si>
    <t>486</t>
  </si>
  <si>
    <t>488</t>
  </si>
  <si>
    <t>533</t>
  </si>
  <si>
    <t>699</t>
  </si>
  <si>
    <t>550</t>
  </si>
  <si>
    <t>604</t>
  </si>
  <si>
    <t>568</t>
  </si>
  <si>
    <t>810</t>
  </si>
  <si>
    <t>58</t>
  </si>
  <si>
    <t>621</t>
  </si>
  <si>
    <t>653</t>
  </si>
  <si>
    <t>66</t>
  </si>
  <si>
    <t>674</t>
  </si>
  <si>
    <t>678</t>
  </si>
  <si>
    <t>763</t>
  </si>
  <si>
    <t>692</t>
  </si>
  <si>
    <t>749</t>
  </si>
  <si>
    <t>696</t>
  </si>
  <si>
    <t>753</t>
  </si>
  <si>
    <t>702</t>
  </si>
  <si>
    <t>720</t>
  </si>
  <si>
    <t>727</t>
  </si>
  <si>
    <t>736</t>
  </si>
  <si>
    <t>758</t>
  </si>
  <si>
    <t>788</t>
  </si>
  <si>
    <t>809</t>
  </si>
  <si>
    <t>185</t>
  </si>
  <si>
    <t>586</t>
  </si>
  <si>
    <t>731</t>
  </si>
  <si>
    <t>746</t>
  </si>
  <si>
    <t>764</t>
  </si>
  <si>
    <t>767</t>
  </si>
  <si>
    <t>776</t>
  </si>
  <si>
    <t>141</t>
  </si>
  <si>
    <t>143</t>
  </si>
  <si>
    <t>711</t>
  </si>
  <si>
    <t>641</t>
  </si>
  <si>
    <t>700</t>
  </si>
  <si>
    <t>717</t>
  </si>
  <si>
    <t>730</t>
  </si>
  <si>
    <t>769</t>
  </si>
  <si>
    <t>766</t>
  </si>
  <si>
    <t>778</t>
  </si>
  <si>
    <t>518</t>
  </si>
  <si>
    <t>497</t>
  </si>
  <si>
    <t>626</t>
  </si>
  <si>
    <t>130</t>
  </si>
  <si>
    <t>660</t>
  </si>
  <si>
    <t>659</t>
  </si>
  <si>
    <t>732</t>
  </si>
  <si>
    <t>755</t>
  </si>
  <si>
    <t>421</t>
  </si>
  <si>
    <t>425</t>
  </si>
  <si>
    <t>263</t>
  </si>
  <si>
    <t>405</t>
  </si>
  <si>
    <t>408</t>
  </si>
  <si>
    <t>410</t>
  </si>
  <si>
    <t>413</t>
  </si>
  <si>
    <t>499</t>
  </si>
  <si>
    <t>534</t>
  </si>
  <si>
    <t>541</t>
  </si>
  <si>
    <t>545</t>
  </si>
  <si>
    <t>565</t>
  </si>
  <si>
    <t>588</t>
  </si>
  <si>
    <t>598</t>
  </si>
  <si>
    <t>612</t>
  </si>
  <si>
    <t>614</t>
  </si>
  <si>
    <t>620</t>
  </si>
  <si>
    <t>624</t>
  </si>
  <si>
    <t>625</t>
  </si>
  <si>
    <t>64</t>
  </si>
  <si>
    <t>650</t>
  </si>
  <si>
    <t>661</t>
  </si>
  <si>
    <t>670</t>
  </si>
  <si>
    <t>673</t>
  </si>
  <si>
    <t>676</t>
  </si>
  <si>
    <t>685</t>
  </si>
  <si>
    <t>806</t>
  </si>
  <si>
    <t>686</t>
  </si>
  <si>
    <t>705</t>
  </si>
  <si>
    <t>706</t>
  </si>
  <si>
    <t>721</t>
  </si>
  <si>
    <t>723</t>
  </si>
  <si>
    <t>728</t>
  </si>
  <si>
    <t>743</t>
  </si>
  <si>
    <t>747</t>
  </si>
  <si>
    <t>768</t>
  </si>
  <si>
    <t>779</t>
  </si>
  <si>
    <t>780</t>
  </si>
  <si>
    <t>775</t>
  </si>
  <si>
    <t>807</t>
  </si>
  <si>
    <t>811</t>
  </si>
  <si>
    <t>812</t>
  </si>
  <si>
    <t>813</t>
  </si>
  <si>
    <t>784</t>
  </si>
  <si>
    <t>786</t>
  </si>
  <si>
    <t>789</t>
  </si>
  <si>
    <t>800</t>
  </si>
  <si>
    <t>799</t>
  </si>
  <si>
    <t>792</t>
  </si>
  <si>
    <t>793</t>
  </si>
  <si>
    <t>794</t>
  </si>
  <si>
    <t>795</t>
  </si>
  <si>
    <t>796</t>
  </si>
  <si>
    <t>797</t>
  </si>
  <si>
    <t>802</t>
  </si>
  <si>
    <t>803</t>
  </si>
  <si>
    <t>816</t>
  </si>
  <si>
    <t>808</t>
  </si>
  <si>
    <t>785</t>
  </si>
  <si>
    <t>790</t>
  </si>
  <si>
    <t>787</t>
  </si>
  <si>
    <t>791</t>
  </si>
  <si>
    <t>801</t>
  </si>
  <si>
    <t>805</t>
  </si>
  <si>
    <t>814</t>
  </si>
  <si>
    <t>320</t>
  </si>
  <si>
    <t>777</t>
  </si>
  <si>
    <t>735</t>
  </si>
  <si>
    <t>756</t>
  </si>
  <si>
    <t>757</t>
  </si>
  <si>
    <t>301</t>
  </si>
  <si>
    <t>584</t>
  </si>
  <si>
    <t>677</t>
  </si>
  <si>
    <t>750</t>
  </si>
  <si>
    <t>798</t>
  </si>
  <si>
    <t>Period</t>
  </si>
  <si>
    <t>Department</t>
  </si>
  <si>
    <t>Name</t>
  </si>
  <si>
    <t>Accounts</t>
  </si>
  <si>
    <t>Rufus Winters</t>
  </si>
  <si>
    <t>Sales</t>
  </si>
  <si>
    <t>Woodrow Eaton</t>
  </si>
  <si>
    <t>Leland Abbott</t>
  </si>
  <si>
    <t>Operations</t>
  </si>
  <si>
    <t>Levi Kline</t>
  </si>
  <si>
    <t>Marcos Jacobson</t>
  </si>
  <si>
    <t>Al Beasley</t>
  </si>
  <si>
    <t>Gustavo Zamora</t>
  </si>
  <si>
    <t>Jake Macdonald</t>
  </si>
  <si>
    <t>Lionel Vance</t>
  </si>
  <si>
    <t>Marty Snow</t>
  </si>
  <si>
    <t>Darrel Hensley</t>
  </si>
  <si>
    <t>IT</t>
  </si>
  <si>
    <t>Isaac Montoya</t>
  </si>
  <si>
    <t>Cleveland Cardenas</t>
  </si>
  <si>
    <t>Sheldon Golden</t>
  </si>
  <si>
    <t>Erick Walter</t>
  </si>
  <si>
    <t>Lamont Wilkins</t>
  </si>
  <si>
    <t>Doyle Rich</t>
  </si>
  <si>
    <t>Dexter Hoover</t>
  </si>
  <si>
    <t>Stewart Suarez</t>
  </si>
  <si>
    <t>Efrain Underwood</t>
  </si>
  <si>
    <t>Billie Short</t>
  </si>
  <si>
    <t>Elias Sweeney</t>
  </si>
  <si>
    <t>Elbert Skinner</t>
  </si>
  <si>
    <t>Noah Rivas</t>
  </si>
  <si>
    <t>Clay Wilcox</t>
  </si>
  <si>
    <t>Garland Carey</t>
  </si>
  <si>
    <t>Miles Clayton</t>
  </si>
  <si>
    <t>Micah Poole</t>
  </si>
  <si>
    <t>Lamar Gallegos</t>
  </si>
  <si>
    <t>Rolando Greer</t>
  </si>
  <si>
    <t>Louie Franco</t>
  </si>
  <si>
    <t>Merle Pittman</t>
  </si>
  <si>
    <t>Logan Randall</t>
  </si>
  <si>
    <t>Bradford Wilkinson</t>
  </si>
  <si>
    <t>Vicente Kirby</t>
  </si>
  <si>
    <t>Grady Charles</t>
  </si>
  <si>
    <t>Otto Allison</t>
  </si>
  <si>
    <t>Carroll Atkinson</t>
  </si>
  <si>
    <t>Terrell Horn</t>
  </si>
  <si>
    <t>Moses Jefferson</t>
  </si>
  <si>
    <t>Irvin Rosales</t>
  </si>
  <si>
    <t>Stephan York</t>
  </si>
  <si>
    <t>Contracting</t>
  </si>
  <si>
    <t>Rocky Bond</t>
  </si>
  <si>
    <t>Cornelius Russo</t>
  </si>
  <si>
    <t>Dewayne Gates</t>
  </si>
  <si>
    <t>Phil Atkins</t>
  </si>
  <si>
    <t>Abel Mathews</t>
  </si>
  <si>
    <t>Julian Bullock</t>
  </si>
  <si>
    <t>Virgil Hodge</t>
  </si>
  <si>
    <t>Winston Shields</t>
  </si>
  <si>
    <t>Aubrey Camacho</t>
  </si>
  <si>
    <t>Boyd Parrish</t>
  </si>
  <si>
    <t>Freddy Berg</t>
  </si>
  <si>
    <t>Andy Savage</t>
  </si>
  <si>
    <t>Ross Clay</t>
  </si>
  <si>
    <t>Emilio Salas</t>
  </si>
  <si>
    <t>Tommie Henson</t>
  </si>
  <si>
    <t>Elijah Marks</t>
  </si>
  <si>
    <t>Darrin Dyer</t>
  </si>
  <si>
    <t>Humberto Baxter</t>
  </si>
  <si>
    <t>Roman Humphrey</t>
  </si>
  <si>
    <t>Rodger Hobbs</t>
  </si>
  <si>
    <t>Clark Khan</t>
  </si>
  <si>
    <t>Darnell Tanner</t>
  </si>
  <si>
    <t>Ethan Prince</t>
  </si>
  <si>
    <t>Byron Whitehead</t>
  </si>
  <si>
    <t>Loretta Nicholson</t>
  </si>
  <si>
    <t>Victoria Trevino</t>
  </si>
  <si>
    <t>Katie Ibarra</t>
  </si>
  <si>
    <t>Josephine Ware</t>
  </si>
  <si>
    <t>Thelma Barron</t>
  </si>
  <si>
    <t>Wilfred Small</t>
  </si>
  <si>
    <t>Taylor Stafford</t>
  </si>
  <si>
    <t>Morris Fuentes</t>
  </si>
  <si>
    <t>Pierre Weiss</t>
  </si>
  <si>
    <t>Frankie Mcdowell</t>
  </si>
  <si>
    <t>Bret Cline</t>
  </si>
  <si>
    <t>Harley Sawyer</t>
  </si>
  <si>
    <t>Jess Wiley</t>
  </si>
  <si>
    <t>Junior Gilmore</t>
  </si>
  <si>
    <t>Emmett Wu</t>
  </si>
  <si>
    <t>Reynaldo Oneal</t>
  </si>
  <si>
    <t>Holly Barry</t>
  </si>
  <si>
    <t>Bert Dickerson</t>
  </si>
  <si>
    <t>Rogelio Phelps</t>
  </si>
  <si>
    <t>Terence Grimes</t>
  </si>
  <si>
    <t>Percy Roth</t>
  </si>
  <si>
    <t>Santiago Oneill</t>
  </si>
  <si>
    <t>Alonzo Dillon</t>
  </si>
  <si>
    <t>Josh Keith</t>
  </si>
  <si>
    <t>Ignacio Mcclure</t>
  </si>
  <si>
    <t>Ramiro Bradford</t>
  </si>
  <si>
    <t>Conrad Boone</t>
  </si>
  <si>
    <t>Pat Calderon</t>
  </si>
  <si>
    <t>Darin Kirk</t>
  </si>
  <si>
    <t>Amos Bruce</t>
  </si>
  <si>
    <t>Eldon Singleton</t>
  </si>
  <si>
    <t>Dominick Mathis</t>
  </si>
  <si>
    <t>Van Farrell</t>
  </si>
  <si>
    <t>Saul Wyatt</t>
  </si>
  <si>
    <t>Clifton Foley</t>
  </si>
  <si>
    <t>Willard Chase</t>
  </si>
  <si>
    <t>Will Vincent</t>
  </si>
  <si>
    <t>Morgan Villarreal</t>
  </si>
  <si>
    <t>Jeanette Heath</t>
  </si>
  <si>
    <t>Shannon Huffman</t>
  </si>
  <si>
    <t>Laurie Roy</t>
  </si>
  <si>
    <t>Trent Boyer</t>
  </si>
  <si>
    <t>Brendan Lin</t>
  </si>
  <si>
    <t>Toby Hancock</t>
  </si>
  <si>
    <t>Domingo Glenn</t>
  </si>
  <si>
    <t>Santos Delacruz</t>
  </si>
  <si>
    <t>Cary Melton</t>
  </si>
  <si>
    <t>Simon Booth</t>
  </si>
  <si>
    <t>Marshall Kane</t>
  </si>
  <si>
    <t>Emanuel Harrell</t>
  </si>
  <si>
    <t>Courtney Wiggins</t>
  </si>
  <si>
    <t>Daryl Strong</t>
  </si>
  <si>
    <t>Jan Brennan</t>
  </si>
  <si>
    <t>Brittany Hutchinson</t>
  </si>
  <si>
    <t>Demetrius Liu</t>
  </si>
  <si>
    <t>Irving Johns</t>
  </si>
  <si>
    <t>Edmond Koch</t>
  </si>
  <si>
    <t>Yolanda Beard</t>
  </si>
  <si>
    <t>Randal Andrade</t>
  </si>
  <si>
    <t>Edith Stephenson</t>
  </si>
  <si>
    <t>Teddy Preston</t>
  </si>
  <si>
    <t>Kim English</t>
  </si>
  <si>
    <t>Sherry Shannon</t>
  </si>
  <si>
    <t>Salvador Mcclain</t>
  </si>
  <si>
    <t>Kirk Conway</t>
  </si>
  <si>
    <t>Johnnie Escobar</t>
  </si>
  <si>
    <t>Sidney Knox</t>
  </si>
  <si>
    <t>Grace Meadows</t>
  </si>
  <si>
    <t>Kristopher Woodard</t>
  </si>
  <si>
    <t>Mack Kemp</t>
  </si>
  <si>
    <t>Gilberto Merritt</t>
  </si>
  <si>
    <t>Dallas Barrera</t>
  </si>
  <si>
    <t>Dewey Valenzuela</t>
  </si>
  <si>
    <t>Clint Roach</t>
  </si>
  <si>
    <t>Nicolas Nolan</t>
  </si>
  <si>
    <t>Laurence Lam</t>
  </si>
  <si>
    <t>Ismael Yoder</t>
  </si>
  <si>
    <t>Orville Mccullough</t>
  </si>
  <si>
    <t>Drew Lester</t>
  </si>
  <si>
    <t>Jody Leach</t>
  </si>
  <si>
    <t>Ervin Berger</t>
  </si>
  <si>
    <t>WALLY MULLIN</t>
  </si>
  <si>
    <t>Wendy Stein</t>
  </si>
  <si>
    <t>Emil Huang</t>
  </si>
  <si>
    <t>Emmanuel Hurst</t>
  </si>
  <si>
    <t>Roberta Mosley</t>
  </si>
  <si>
    <t>Kristen Villanueva</t>
  </si>
  <si>
    <t>Heath Orr</t>
  </si>
  <si>
    <t>Sylvia Mckee</t>
  </si>
  <si>
    <t>Sergio Solomon</t>
  </si>
  <si>
    <t>Sammy Larsen</t>
  </si>
  <si>
    <t>Ellis Orozco</t>
  </si>
  <si>
    <t>Hugo Macias</t>
  </si>
  <si>
    <t>Caleb Blackwell</t>
  </si>
  <si>
    <t>Tomas Mercado</t>
  </si>
  <si>
    <t>Melanie Combs</t>
  </si>
  <si>
    <t>Marlon Garrison</t>
  </si>
  <si>
    <t>Jerald Pitts</t>
  </si>
  <si>
    <t>Timmy Wilkerson</t>
  </si>
  <si>
    <t>Perry Santana</t>
  </si>
  <si>
    <t>ShortName</t>
  </si>
  <si>
    <t>Woodrow</t>
  </si>
  <si>
    <t>Leland</t>
  </si>
  <si>
    <t>Efrain</t>
  </si>
  <si>
    <t>Billie</t>
  </si>
  <si>
    <t>Garland</t>
  </si>
  <si>
    <t>Miles</t>
  </si>
  <si>
    <t>Micah</t>
  </si>
  <si>
    <t>Grady</t>
  </si>
  <si>
    <t>Otto</t>
  </si>
  <si>
    <t>Carroll</t>
  </si>
  <si>
    <t>Cornelius</t>
  </si>
  <si>
    <t>Dewayne</t>
  </si>
  <si>
    <t>Phil</t>
  </si>
  <si>
    <t>Julian</t>
  </si>
  <si>
    <t>Rodger</t>
  </si>
  <si>
    <t>Ethan</t>
  </si>
  <si>
    <t>Byron</t>
  </si>
  <si>
    <t>Loretta</t>
  </si>
  <si>
    <t>Katie</t>
  </si>
  <si>
    <t>Josephine</t>
  </si>
  <si>
    <t>Thelma</t>
  </si>
  <si>
    <t>Bret</t>
  </si>
  <si>
    <t>Harley</t>
  </si>
  <si>
    <t>Emmett</t>
  </si>
  <si>
    <t>Reynaldo</t>
  </si>
  <si>
    <t>Eldon</t>
  </si>
  <si>
    <t>Will</t>
  </si>
  <si>
    <t>Morgan</t>
  </si>
  <si>
    <t>Jeanette</t>
  </si>
  <si>
    <t>Shannon</t>
  </si>
  <si>
    <t>Laurie</t>
  </si>
  <si>
    <t>Emanuel</t>
  </si>
  <si>
    <t>Brittany</t>
  </si>
  <si>
    <t>Demetrius</t>
  </si>
  <si>
    <t>Edmond</t>
  </si>
  <si>
    <t>Yolanda</t>
  </si>
  <si>
    <t>Edith</t>
  </si>
  <si>
    <t>Teddy</t>
  </si>
  <si>
    <t>Kim</t>
  </si>
  <si>
    <t>Sherry</t>
  </si>
  <si>
    <t>Salvador</t>
  </si>
  <si>
    <t>Kirk</t>
  </si>
  <si>
    <t>Johnnie</t>
  </si>
  <si>
    <t>Sidney</t>
  </si>
  <si>
    <t>Grace</t>
  </si>
  <si>
    <t>Kristopher</t>
  </si>
  <si>
    <t>WALLY</t>
  </si>
  <si>
    <t>Wendy</t>
  </si>
  <si>
    <t>Emil</t>
  </si>
  <si>
    <t>Kristen</t>
  </si>
  <si>
    <t>Heath</t>
  </si>
  <si>
    <t>Sergio</t>
  </si>
  <si>
    <t>Sammy</t>
  </si>
  <si>
    <t>Melanie</t>
  </si>
  <si>
    <t>Marlon</t>
  </si>
  <si>
    <t>Jerald</t>
  </si>
  <si>
    <t>Perry</t>
  </si>
  <si>
    <t>Group</t>
  </si>
  <si>
    <t xml:space="preserve">Name </t>
  </si>
  <si>
    <t>Performance</t>
  </si>
  <si>
    <t xml:space="preserve">Potential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</si>
</sst>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amily val="2"/>
      <scheme val="minor"/>
    </font>
    <font>
      <sz val="11"/>
      <color theme="1"/>
      <name val="Trebuchet MS"/>
      <family val="2"/>
    </font>
    <font>
      <sz val="11"/>
      <color indexed="8"/>
      <name val="Trebuchet MS"/>
      <family val="2"/>
    </font>
    <font>
      <sz val="11"/>
      <color theme="1"/>
      <name val="Trebuchet MS"/>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0" xfId="0" applyFont="1"/>
    <xf numFmtId="0" fontId="3" fillId="0" borderId="0" xfId="0" applyFont="1"/>
    <xf numFmtId="0" fontId="0" fillId="0" borderId="0" xfId="0" applyAlignment="1">
      <alignment horizontal="left"/>
    </xf>
    <xf numFmtId="9" fontId="2" fillId="0" borderId="0" xfId="1" applyFont="1"/>
    <xf numFmtId="2" fontId="0" fillId="0" borderId="0" xfId="0" applyNumberFormat="1"/>
    <xf numFmtId="0" fontId="0" fillId="0" borderId="0" xfId="0" pivotButton="1"/>
    <xf numFmtId="0" fontId="4" fillId="0" borderId="0" xfId="0" applyFont="1"/>
    <xf numFmtId="0" fontId="0" fillId="0" borderId="0" xfId="0" applyAlignment="1">
      <alignment horizontal="center"/>
    </xf>
    <xf numFmtId="164" fontId="0" fillId="0" borderId="0" xfId="0" applyNumberFormat="1" applyAlignment="1">
      <alignment horizontal="center"/>
    </xf>
    <xf numFmtId="0" fontId="0" fillId="0" borderId="0" xfId="0" pivotButton="1" applyAlignment="1">
      <alignment horizontal="center"/>
    </xf>
    <xf numFmtId="0" fontId="2" fillId="0" borderId="0" xfId="0" applyFont="1" applyAlignment="1">
      <alignment horizontal="center"/>
    </xf>
  </cellXfs>
  <cellStyles count="2">
    <cellStyle name="Normal" xfId="0" builtinId="0"/>
    <cellStyle name="Percent" xfId="1" builtinId="5"/>
  </cellStyles>
  <dxfs count="185">
    <dxf>
      <font>
        <color rgb="FF9C0006"/>
      </font>
      <fill>
        <patternFill>
          <bgColor rgb="FFFFC7CE"/>
        </patternFill>
      </fill>
    </dxf>
    <dxf>
      <font>
        <strike val="0"/>
        <outline val="0"/>
        <shadow val="0"/>
        <u val="none"/>
        <vertAlign val="baseline"/>
        <sz val="11"/>
        <color theme="1"/>
        <name val="Trebuchet MS"/>
        <scheme val="none"/>
      </font>
      <numFmt numFmtId="0" formatCode="General"/>
    </dxf>
    <dxf>
      <font>
        <strike val="0"/>
        <outline val="0"/>
        <shadow val="0"/>
        <u val="none"/>
        <vertAlign val="baseline"/>
        <sz val="11"/>
        <color theme="1"/>
        <name val="Trebuchet MS"/>
        <scheme val="none"/>
      </font>
      <numFmt numFmtId="0" formatCode="General"/>
    </dxf>
    <dxf>
      <font>
        <strike val="0"/>
        <outline val="0"/>
        <shadow val="0"/>
        <u val="none"/>
        <vertAlign val="baseline"/>
        <sz val="11"/>
        <color theme="1"/>
        <name val="Trebuchet MS"/>
        <scheme val="none"/>
      </font>
    </dxf>
    <dxf>
      <font>
        <strike val="0"/>
        <outline val="0"/>
        <shadow val="0"/>
        <u val="none"/>
        <vertAlign val="baseline"/>
        <sz val="11"/>
        <color theme="1"/>
        <name val="Trebuchet MS"/>
        <scheme val="none"/>
      </font>
    </dxf>
    <dxf>
      <font>
        <strike val="0"/>
        <outline val="0"/>
        <shadow val="0"/>
        <u val="none"/>
        <vertAlign val="baseline"/>
        <sz val="11"/>
        <color theme="1"/>
        <name val="Trebuchet MS"/>
        <scheme val="none"/>
      </font>
      <numFmt numFmtId="0" formatCode="General"/>
    </dxf>
    <dxf>
      <font>
        <strike val="0"/>
        <outline val="0"/>
        <shadow val="0"/>
        <u val="none"/>
        <vertAlign val="baseline"/>
        <sz val="11"/>
        <color theme="1"/>
        <name val="Trebuchet MS"/>
        <scheme val="none"/>
      </font>
      <numFmt numFmtId="0" formatCode="General"/>
    </dxf>
    <dxf>
      <font>
        <strike val="0"/>
        <outline val="0"/>
        <shadow val="0"/>
        <u val="none"/>
        <vertAlign val="baseline"/>
        <sz val="11"/>
        <color theme="1"/>
        <name val="Trebuchet MS"/>
        <scheme val="none"/>
      </font>
      <alignment horizontal="center" vertical="bottom" textRotation="0" wrapText="0" indent="0" justifyLastLine="0" shrinkToFit="0" readingOrder="0"/>
    </dxf>
    <dxf>
      <font>
        <strike val="0"/>
        <outline val="0"/>
        <shadow val="0"/>
        <u val="none"/>
        <vertAlign val="baseline"/>
        <sz val="11"/>
        <color indexed="8"/>
        <name val="Trebuchet MS"/>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strike val="0"/>
        <outline val="0"/>
        <shadow val="0"/>
        <u val="none"/>
        <vertAlign val="baseline"/>
        <sz val="11"/>
        <color theme="1"/>
        <name val="Trebuchet MS"/>
        <scheme val="none"/>
      </font>
    </dxf>
    <dxf>
      <font>
        <strike val="0"/>
        <outline val="0"/>
        <shadow val="0"/>
        <u val="none"/>
        <vertAlign val="baseline"/>
        <sz val="11"/>
        <color theme="1"/>
        <name val="Trebuchet MS"/>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Data!$D$1</c:f>
              <c:strCache>
                <c:ptCount val="1"/>
                <c:pt idx="0">
                  <c:v>Rating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dLbl>
              <c:idx val="0"/>
              <c:tx>
                <c:rich>
                  <a:bodyPr/>
                  <a:lstStyle/>
                  <a:p>
                    <a:fld id="{86227F96-7616-4C35-A6D7-423D2B44997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E0E-44A4-927C-66598995D813}"/>
                </c:ext>
              </c:extLst>
            </c:dLbl>
            <c:dLbl>
              <c:idx val="1"/>
              <c:tx>
                <c:rich>
                  <a:bodyPr/>
                  <a:lstStyle/>
                  <a:p>
                    <a:fld id="{859F47DD-98FC-45B1-9E7A-406C4A6952C0}"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E0E-44A4-927C-66598995D813}"/>
                </c:ext>
              </c:extLst>
            </c:dLbl>
            <c:dLbl>
              <c:idx val="2"/>
              <c:tx>
                <c:rich>
                  <a:bodyPr/>
                  <a:lstStyle/>
                  <a:p>
                    <a:fld id="{8801E3B9-EB65-4B2C-8AD3-416610EF2246}"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E0E-44A4-927C-66598995D813}"/>
                </c:ext>
              </c:extLst>
            </c:dLbl>
            <c:dLbl>
              <c:idx val="3"/>
              <c:tx>
                <c:rich>
                  <a:bodyPr/>
                  <a:lstStyle/>
                  <a:p>
                    <a:fld id="{C450FFB2-01D9-4C65-B466-F8591E75E20C}"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E0E-44A4-927C-66598995D813}"/>
                </c:ext>
              </c:extLst>
            </c:dLbl>
            <c:dLbl>
              <c:idx val="4"/>
              <c:tx>
                <c:rich>
                  <a:bodyPr/>
                  <a:lstStyle/>
                  <a:p>
                    <a:fld id="{FB07E0F0-8349-4B5A-A582-3534E81BECE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E0E-44A4-927C-66598995D813}"/>
                </c:ext>
              </c:extLst>
            </c:dLbl>
            <c:dLbl>
              <c:idx val="5"/>
              <c:tx>
                <c:rich>
                  <a:bodyPr/>
                  <a:lstStyle/>
                  <a:p>
                    <a:fld id="{22322A0E-86DE-4337-8E7B-8D50A297C000}"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E0E-44A4-927C-66598995D813}"/>
                </c:ext>
              </c:extLst>
            </c:dLbl>
            <c:dLbl>
              <c:idx val="6"/>
              <c:tx>
                <c:rich>
                  <a:bodyPr/>
                  <a:lstStyle/>
                  <a:p>
                    <a:fld id="{8D554934-2A64-4287-A2C9-1F930FB650E7}"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E0E-44A4-927C-66598995D813}"/>
                </c:ext>
              </c:extLst>
            </c:dLbl>
            <c:dLbl>
              <c:idx val="7"/>
              <c:tx>
                <c:rich>
                  <a:bodyPr/>
                  <a:lstStyle/>
                  <a:p>
                    <a:fld id="{63D27816-120E-4BFE-8A87-8C5BB7DBF2C7}"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E0E-44A4-927C-66598995D813}"/>
                </c:ext>
              </c:extLst>
            </c:dLbl>
            <c:dLbl>
              <c:idx val="8"/>
              <c:tx>
                <c:rich>
                  <a:bodyPr/>
                  <a:lstStyle/>
                  <a:p>
                    <a:fld id="{788B3EC4-A9A6-4DFE-A84C-75AC2B50AC2C}"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E0E-44A4-927C-66598995D813}"/>
                </c:ext>
              </c:extLst>
            </c:dLbl>
            <c:dLbl>
              <c:idx val="9"/>
              <c:tx>
                <c:rich>
                  <a:bodyPr/>
                  <a:lstStyle/>
                  <a:p>
                    <a:fld id="{EAA0628F-1D80-406B-ADFC-FFF99683541D}"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E0E-44A4-927C-66598995D813}"/>
                </c:ext>
              </c:extLst>
            </c:dLbl>
            <c:dLbl>
              <c:idx val="10"/>
              <c:tx>
                <c:rich>
                  <a:bodyPr/>
                  <a:lstStyle/>
                  <a:p>
                    <a:fld id="{CCADE615-44DC-44D3-8E29-A0F8F6DFC46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E0E-44A4-927C-66598995D813}"/>
                </c:ext>
              </c:extLst>
            </c:dLbl>
            <c:dLbl>
              <c:idx val="11"/>
              <c:tx>
                <c:rich>
                  <a:bodyPr/>
                  <a:lstStyle/>
                  <a:p>
                    <a:fld id="{FD3FEBC2-6C2D-4DC0-BA58-6CAD3DF2C2A2}"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E0E-44A4-927C-66598995D813}"/>
                </c:ext>
              </c:extLst>
            </c:dLbl>
            <c:dLbl>
              <c:idx val="12"/>
              <c:tx>
                <c:rich>
                  <a:bodyPr/>
                  <a:lstStyle/>
                  <a:p>
                    <a:fld id="{AFB15323-5DD8-4E15-907F-7D4799DA25FD}"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E0E-44A4-927C-66598995D813}"/>
                </c:ext>
              </c:extLst>
            </c:dLbl>
            <c:dLbl>
              <c:idx val="13"/>
              <c:tx>
                <c:rich>
                  <a:bodyPr/>
                  <a:lstStyle/>
                  <a:p>
                    <a:fld id="{926334E2-1631-449C-AF44-46A873825147}"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E0E-44A4-927C-66598995D813}"/>
                </c:ext>
              </c:extLst>
            </c:dLbl>
            <c:dLbl>
              <c:idx val="14"/>
              <c:tx>
                <c:rich>
                  <a:bodyPr/>
                  <a:lstStyle/>
                  <a:p>
                    <a:fld id="{792E84D0-9DB9-4422-9888-7FE438166452}"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E0E-44A4-927C-66598995D813}"/>
                </c:ext>
              </c:extLst>
            </c:dLbl>
            <c:dLbl>
              <c:idx val="15"/>
              <c:tx>
                <c:rich>
                  <a:bodyPr/>
                  <a:lstStyle/>
                  <a:p>
                    <a:fld id="{5D28448D-BA31-4C56-9768-65C59CACA405}"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E0E-44A4-927C-66598995D813}"/>
                </c:ext>
              </c:extLst>
            </c:dLbl>
            <c:dLbl>
              <c:idx val="16"/>
              <c:tx>
                <c:rich>
                  <a:bodyPr/>
                  <a:lstStyle/>
                  <a:p>
                    <a:fld id="{EBCA62F1-19EC-405D-A58D-2514461E5607}"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E0E-44A4-927C-66598995D813}"/>
                </c:ext>
              </c:extLst>
            </c:dLbl>
            <c:dLbl>
              <c:idx val="17"/>
              <c:tx>
                <c:rich>
                  <a:bodyPr/>
                  <a:lstStyle/>
                  <a:p>
                    <a:fld id="{3A887D5B-EAFE-4B1A-8C72-C389DB483F2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E0E-44A4-927C-66598995D813}"/>
                </c:ext>
              </c:extLst>
            </c:dLbl>
            <c:dLbl>
              <c:idx val="18"/>
              <c:tx>
                <c:rich>
                  <a:bodyPr/>
                  <a:lstStyle/>
                  <a:p>
                    <a:fld id="{0A1A311F-D6C6-4441-925E-8502633C69A8}"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E0E-44A4-927C-66598995D813}"/>
                </c:ext>
              </c:extLst>
            </c:dLbl>
            <c:dLbl>
              <c:idx val="19"/>
              <c:tx>
                <c:rich>
                  <a:bodyPr/>
                  <a:lstStyle/>
                  <a:p>
                    <a:fld id="{5521BD87-A1E1-4455-84CE-3AEAA266A87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E0E-44A4-927C-66598995D813}"/>
                </c:ext>
              </c:extLst>
            </c:dLbl>
            <c:dLbl>
              <c:idx val="20"/>
              <c:tx>
                <c:rich>
                  <a:bodyPr/>
                  <a:lstStyle/>
                  <a:p>
                    <a:fld id="{4F7169ED-2A2D-40A8-8DD9-9CA272792596}"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E0E-44A4-927C-66598995D813}"/>
                </c:ext>
              </c:extLst>
            </c:dLbl>
            <c:dLbl>
              <c:idx val="21"/>
              <c:tx>
                <c:rich>
                  <a:bodyPr/>
                  <a:lstStyle/>
                  <a:p>
                    <a:fld id="{890C3F63-D367-4BAC-969A-98A7A1239670}"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E0E-44A4-927C-66598995D813}"/>
                </c:ext>
              </c:extLst>
            </c:dLbl>
            <c:dLbl>
              <c:idx val="22"/>
              <c:tx>
                <c:rich>
                  <a:bodyPr/>
                  <a:lstStyle/>
                  <a:p>
                    <a:fld id="{CA9EEC49-D43F-48B7-8590-843CBB210B24}"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E0E-44A4-927C-66598995D813}"/>
                </c:ext>
              </c:extLst>
            </c:dLbl>
            <c:dLbl>
              <c:idx val="23"/>
              <c:tx>
                <c:rich>
                  <a:bodyPr/>
                  <a:lstStyle/>
                  <a:p>
                    <a:fld id="{DD2A9331-168E-47B2-9145-1FC321CCD25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E0E-44A4-927C-66598995D813}"/>
                </c:ext>
              </c:extLst>
            </c:dLbl>
            <c:dLbl>
              <c:idx val="24"/>
              <c:tx>
                <c:rich>
                  <a:bodyPr/>
                  <a:lstStyle/>
                  <a:p>
                    <a:fld id="{591712DE-0CDD-4A02-9B16-E1E95C3BBF8B}"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E0E-44A4-927C-66598995D813}"/>
                </c:ext>
              </c:extLst>
            </c:dLbl>
            <c:dLbl>
              <c:idx val="25"/>
              <c:tx>
                <c:rich>
                  <a:bodyPr/>
                  <a:lstStyle/>
                  <a:p>
                    <a:fld id="{699B7FC6-5212-4249-971D-06BF9AD2FB2C}"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E0E-44A4-927C-66598995D813}"/>
                </c:ext>
              </c:extLst>
            </c:dLbl>
            <c:dLbl>
              <c:idx val="26"/>
              <c:tx>
                <c:rich>
                  <a:bodyPr/>
                  <a:lstStyle/>
                  <a:p>
                    <a:fld id="{67EA18F8-35FC-436F-82ED-88FEE14C60F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E0E-44A4-927C-66598995D813}"/>
                </c:ext>
              </c:extLst>
            </c:dLbl>
            <c:dLbl>
              <c:idx val="27"/>
              <c:tx>
                <c:rich>
                  <a:bodyPr/>
                  <a:lstStyle/>
                  <a:p>
                    <a:fld id="{31A09492-B12C-4044-9ACB-4EF3845B7F94}"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E0E-44A4-927C-66598995D813}"/>
                </c:ext>
              </c:extLst>
            </c:dLbl>
            <c:dLbl>
              <c:idx val="28"/>
              <c:tx>
                <c:rich>
                  <a:bodyPr/>
                  <a:lstStyle/>
                  <a:p>
                    <a:fld id="{21F956A7-4CAE-45DA-B6A8-CB7AE28CBFEC}"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E0E-44A4-927C-66598995D813}"/>
                </c:ext>
              </c:extLst>
            </c:dLbl>
            <c:dLbl>
              <c:idx val="29"/>
              <c:tx>
                <c:rich>
                  <a:bodyPr/>
                  <a:lstStyle/>
                  <a:p>
                    <a:fld id="{C05DAB73-2ACA-48CA-9FA9-DA7BCB4552ED}"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E0E-44A4-927C-66598995D813}"/>
                </c:ext>
              </c:extLst>
            </c:dLbl>
            <c:dLbl>
              <c:idx val="30"/>
              <c:tx>
                <c:rich>
                  <a:bodyPr/>
                  <a:lstStyle/>
                  <a:p>
                    <a:fld id="{911BEDD6-A372-49D5-8F8C-0E4F339ADA92}"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E0E-44A4-927C-66598995D813}"/>
                </c:ext>
              </c:extLst>
            </c:dLbl>
            <c:dLbl>
              <c:idx val="31"/>
              <c:tx>
                <c:rich>
                  <a:bodyPr/>
                  <a:lstStyle/>
                  <a:p>
                    <a:fld id="{318B8AC5-3AFD-4D20-9552-96422AE9C664}"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E0E-44A4-927C-66598995D813}"/>
                </c:ext>
              </c:extLst>
            </c:dLbl>
            <c:dLbl>
              <c:idx val="32"/>
              <c:tx>
                <c:rich>
                  <a:bodyPr/>
                  <a:lstStyle/>
                  <a:p>
                    <a:fld id="{EBED67D7-6DCF-4E52-80B2-A12BA5E75FE3}"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E0E-44A4-927C-66598995D813}"/>
                </c:ext>
              </c:extLst>
            </c:dLbl>
            <c:dLbl>
              <c:idx val="33"/>
              <c:tx>
                <c:rich>
                  <a:bodyPr/>
                  <a:lstStyle/>
                  <a:p>
                    <a:fld id="{AB445CDB-E310-4E9F-93AF-9C5822DD0BB1}"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E0E-44A4-927C-66598995D813}"/>
                </c:ext>
              </c:extLst>
            </c:dLbl>
            <c:dLbl>
              <c:idx val="34"/>
              <c:tx>
                <c:rich>
                  <a:bodyPr/>
                  <a:lstStyle/>
                  <a:p>
                    <a:fld id="{66957752-D5B3-4537-8F6C-64EFB155FE6F}"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E0E-44A4-927C-66598995D813}"/>
                </c:ext>
              </c:extLst>
            </c:dLbl>
            <c:dLbl>
              <c:idx val="35"/>
              <c:tx>
                <c:rich>
                  <a:bodyPr/>
                  <a:lstStyle/>
                  <a:p>
                    <a:fld id="{EA736B42-D447-4089-A312-22C547E0C563}"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E0E-44A4-927C-66598995D813}"/>
                </c:ext>
              </c:extLst>
            </c:dLbl>
            <c:dLbl>
              <c:idx val="36"/>
              <c:tx>
                <c:rich>
                  <a:bodyPr/>
                  <a:lstStyle/>
                  <a:p>
                    <a:fld id="{DC2B11E6-EDEE-410A-B6A3-D6A8DC7B720F}"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E0E-44A4-927C-66598995D813}"/>
                </c:ext>
              </c:extLst>
            </c:dLbl>
            <c:dLbl>
              <c:idx val="37"/>
              <c:tx>
                <c:rich>
                  <a:bodyPr/>
                  <a:lstStyle/>
                  <a:p>
                    <a:fld id="{B7F58F37-2079-426E-A5C9-EADF9ADBF3C2}"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E0E-44A4-927C-66598995D813}"/>
                </c:ext>
              </c:extLst>
            </c:dLbl>
            <c:dLbl>
              <c:idx val="38"/>
              <c:tx>
                <c:rich>
                  <a:bodyPr/>
                  <a:lstStyle/>
                  <a:p>
                    <a:fld id="{FE6D73B2-B5E7-4410-91C6-5CD281CF7CE7}"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E0E-44A4-927C-66598995D813}"/>
                </c:ext>
              </c:extLst>
            </c:dLbl>
            <c:dLbl>
              <c:idx val="39"/>
              <c:tx>
                <c:rich>
                  <a:bodyPr/>
                  <a:lstStyle/>
                  <a:p>
                    <a:fld id="{713657BB-48AB-4AF5-A125-60790E39C46C}"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E0E-44A4-927C-66598995D813}"/>
                </c:ext>
              </c:extLst>
            </c:dLbl>
            <c:dLbl>
              <c:idx val="40"/>
              <c:tx>
                <c:rich>
                  <a:bodyPr/>
                  <a:lstStyle/>
                  <a:p>
                    <a:fld id="{111E8FB5-F855-40DC-BC3C-5F95B08270F5}"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E0E-44A4-927C-66598995D813}"/>
                </c:ext>
              </c:extLst>
            </c:dLbl>
            <c:dLbl>
              <c:idx val="41"/>
              <c:tx>
                <c:rich>
                  <a:bodyPr/>
                  <a:lstStyle/>
                  <a:p>
                    <a:fld id="{D468484A-FA9D-4BBC-9814-5894543CCD4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E0E-44A4-927C-66598995D813}"/>
                </c:ext>
              </c:extLst>
            </c:dLbl>
            <c:dLbl>
              <c:idx val="42"/>
              <c:tx>
                <c:rich>
                  <a:bodyPr/>
                  <a:lstStyle/>
                  <a:p>
                    <a:fld id="{F7EB4568-9D56-44A7-9A7A-DDDEC152610F}"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E0E-44A4-927C-66598995D813}"/>
                </c:ext>
              </c:extLst>
            </c:dLbl>
            <c:dLbl>
              <c:idx val="43"/>
              <c:tx>
                <c:rich>
                  <a:bodyPr/>
                  <a:lstStyle/>
                  <a:p>
                    <a:fld id="{6E90D0BC-8C16-448E-AB19-5765EB784311}"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E0E-44A4-927C-66598995D813}"/>
                </c:ext>
              </c:extLst>
            </c:dLbl>
            <c:dLbl>
              <c:idx val="44"/>
              <c:tx>
                <c:rich>
                  <a:bodyPr/>
                  <a:lstStyle/>
                  <a:p>
                    <a:fld id="{34A0DEF9-E9A4-4C6B-A063-DFAB2259C86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E0E-44A4-927C-66598995D813}"/>
                </c:ext>
              </c:extLst>
            </c:dLbl>
            <c:dLbl>
              <c:idx val="45"/>
              <c:tx>
                <c:rich>
                  <a:bodyPr/>
                  <a:lstStyle/>
                  <a:p>
                    <a:fld id="{6E8C367C-CD62-4662-9332-33C7965ACE1E}"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E0E-44A4-927C-66598995D813}"/>
                </c:ext>
              </c:extLst>
            </c:dLbl>
            <c:dLbl>
              <c:idx val="46"/>
              <c:tx>
                <c:rich>
                  <a:bodyPr/>
                  <a:lstStyle/>
                  <a:p>
                    <a:fld id="{82A4351E-46E3-446D-8596-BF67E150E728}"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E0E-44A4-927C-66598995D813}"/>
                </c:ext>
              </c:extLst>
            </c:dLbl>
            <c:dLbl>
              <c:idx val="47"/>
              <c:tx>
                <c:rich>
                  <a:bodyPr/>
                  <a:lstStyle/>
                  <a:p>
                    <a:fld id="{84F0FFAF-2E95-462F-B82A-FD26974E6A26}"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E0E-44A4-927C-66598995D813}"/>
                </c:ext>
              </c:extLst>
            </c:dLbl>
            <c:dLbl>
              <c:idx val="48"/>
              <c:tx>
                <c:rich>
                  <a:bodyPr/>
                  <a:lstStyle/>
                  <a:p>
                    <a:fld id="{3672C257-0E81-4ED8-B8F2-652670F4B869}"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E0E-44A4-927C-66598995D813}"/>
                </c:ext>
              </c:extLst>
            </c:dLbl>
            <c:dLbl>
              <c:idx val="49"/>
              <c:tx>
                <c:rich>
                  <a:bodyPr/>
                  <a:lstStyle/>
                  <a:p>
                    <a:fld id="{12658DAE-7AD3-49EB-AAC7-6174855EAA86}"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E0E-44A4-927C-66598995D813}"/>
                </c:ext>
              </c:extLst>
            </c:dLbl>
            <c:dLbl>
              <c:idx val="50"/>
              <c:tx>
                <c:rich>
                  <a:bodyPr/>
                  <a:lstStyle/>
                  <a:p>
                    <a:fld id="{EEE35316-F242-4D18-A0C2-98F0E96ED650}"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E0E-44A4-927C-66598995D813}"/>
                </c:ext>
              </c:extLst>
            </c:dLbl>
            <c:dLbl>
              <c:idx val="51"/>
              <c:tx>
                <c:rich>
                  <a:bodyPr/>
                  <a:lstStyle/>
                  <a:p>
                    <a:fld id="{2A41C4C8-F8A3-4870-9CAA-27411201F310}"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E0E-44A4-927C-66598995D813}"/>
                </c:ext>
              </c:extLst>
            </c:dLbl>
            <c:dLbl>
              <c:idx val="52"/>
              <c:tx>
                <c:rich>
                  <a:bodyPr/>
                  <a:lstStyle/>
                  <a:p>
                    <a:fld id="{870C79DA-F0B7-4A2E-9E9F-23A924DB2E1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E0E-44A4-927C-66598995D813}"/>
                </c:ext>
              </c:extLst>
            </c:dLbl>
            <c:dLbl>
              <c:idx val="53"/>
              <c:tx>
                <c:rich>
                  <a:bodyPr/>
                  <a:lstStyle/>
                  <a:p>
                    <a:fld id="{7CD16434-DEA1-4DEF-80FC-45498AEC533A}"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E0E-44A4-927C-66598995D813}"/>
                </c:ext>
              </c:extLst>
            </c:dLbl>
            <c:dLbl>
              <c:idx val="54"/>
              <c:tx>
                <c:rich>
                  <a:bodyPr/>
                  <a:lstStyle/>
                  <a:p>
                    <a:fld id="{4B894FA8-DE3B-4703-9361-A081161E0138}"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E0E-44A4-927C-66598995D813}"/>
                </c:ext>
              </c:extLst>
            </c:dLbl>
            <c:dLbl>
              <c:idx val="55"/>
              <c:tx>
                <c:rich>
                  <a:bodyPr/>
                  <a:lstStyle/>
                  <a:p>
                    <a:fld id="{F47898CA-D8CF-4543-92E8-6ADB34E65161}"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E0E-44A4-927C-66598995D813}"/>
                </c:ext>
              </c:extLst>
            </c:dLbl>
            <c:dLbl>
              <c:idx val="56"/>
              <c:tx>
                <c:rich>
                  <a:bodyPr/>
                  <a:lstStyle/>
                  <a:p>
                    <a:fld id="{DB66D063-A7EC-4791-A1DE-5B855A7B745D}" type="CELLRANGE">
                      <a:rPr lang="en-GB"/>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E0E-44A4-927C-66598995D813}"/>
                </c:ext>
              </c:extLst>
            </c:dLbl>
            <c:dLbl>
              <c:idx val="5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8E0E-44A4-927C-66598995D813}"/>
                </c:ext>
              </c:extLst>
            </c:dLbl>
            <c:dLbl>
              <c:idx val="5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8E0E-44A4-927C-66598995D813}"/>
                </c:ext>
              </c:extLst>
            </c:dLbl>
            <c:dLbl>
              <c:idx val="5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8E0E-44A4-927C-66598995D813}"/>
                </c:ext>
              </c:extLst>
            </c:dLbl>
            <c:dLbl>
              <c:idx val="6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8E0E-44A4-927C-66598995D813}"/>
                </c:ext>
              </c:extLst>
            </c:dLbl>
            <c:dLbl>
              <c:idx val="6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8E0E-44A4-927C-66598995D813}"/>
                </c:ext>
              </c:extLst>
            </c:dLbl>
            <c:dLbl>
              <c:idx val="6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8E0E-44A4-927C-66598995D813}"/>
                </c:ext>
              </c:extLst>
            </c:dLbl>
            <c:dLbl>
              <c:idx val="6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8E0E-44A4-927C-66598995D813}"/>
                </c:ext>
              </c:extLst>
            </c:dLbl>
            <c:dLbl>
              <c:idx val="6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8E0E-44A4-927C-66598995D813}"/>
                </c:ext>
              </c:extLst>
            </c:dLbl>
            <c:dLbl>
              <c:idx val="6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8E0E-44A4-927C-66598995D813}"/>
                </c:ext>
              </c:extLst>
            </c:dLbl>
            <c:dLbl>
              <c:idx val="6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8E0E-44A4-927C-66598995D813}"/>
                </c:ext>
              </c:extLst>
            </c:dLbl>
            <c:dLbl>
              <c:idx val="6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8E0E-44A4-927C-66598995D813}"/>
                </c:ext>
              </c:extLst>
            </c:dLbl>
            <c:dLbl>
              <c:idx val="6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8E0E-44A4-927C-66598995D813}"/>
                </c:ext>
              </c:extLst>
            </c:dLbl>
            <c:dLbl>
              <c:idx val="6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8E0E-44A4-927C-66598995D813}"/>
                </c:ext>
              </c:extLst>
            </c:dLbl>
            <c:dLbl>
              <c:idx val="7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8E0E-44A4-927C-66598995D813}"/>
                </c:ext>
              </c:extLst>
            </c:dLbl>
            <c:dLbl>
              <c:idx val="7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8E0E-44A4-927C-66598995D813}"/>
                </c:ext>
              </c:extLst>
            </c:dLbl>
            <c:dLbl>
              <c:idx val="7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8E0E-44A4-927C-66598995D813}"/>
                </c:ext>
              </c:extLst>
            </c:dLbl>
            <c:dLbl>
              <c:idx val="7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8E0E-44A4-927C-66598995D813}"/>
                </c:ext>
              </c:extLst>
            </c:dLbl>
            <c:dLbl>
              <c:idx val="7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8E0E-44A4-927C-66598995D813}"/>
                </c:ext>
              </c:extLst>
            </c:dLbl>
            <c:dLbl>
              <c:idx val="7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8E0E-44A4-927C-66598995D813}"/>
                </c:ext>
              </c:extLst>
            </c:dLbl>
            <c:dLbl>
              <c:idx val="7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8E0E-44A4-927C-66598995D813}"/>
                </c:ext>
              </c:extLst>
            </c:dLbl>
            <c:dLbl>
              <c:idx val="7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8E0E-44A4-927C-66598995D813}"/>
                </c:ext>
              </c:extLst>
            </c:dLbl>
            <c:dLbl>
              <c:idx val="7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8E0E-44A4-927C-66598995D813}"/>
                </c:ext>
              </c:extLst>
            </c:dLbl>
            <c:dLbl>
              <c:idx val="7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8E0E-44A4-927C-66598995D813}"/>
                </c:ext>
              </c:extLst>
            </c:dLbl>
            <c:dLbl>
              <c:idx val="8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8E0E-44A4-927C-66598995D813}"/>
                </c:ext>
              </c:extLst>
            </c:dLbl>
            <c:dLbl>
              <c:idx val="8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8E0E-44A4-927C-66598995D813}"/>
                </c:ext>
              </c:extLst>
            </c:dLbl>
            <c:dLbl>
              <c:idx val="8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8E0E-44A4-927C-66598995D813}"/>
                </c:ext>
              </c:extLst>
            </c:dLbl>
            <c:dLbl>
              <c:idx val="8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8E0E-44A4-927C-66598995D813}"/>
                </c:ext>
              </c:extLst>
            </c:dLbl>
            <c:dLbl>
              <c:idx val="8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8E0E-44A4-927C-66598995D813}"/>
                </c:ext>
              </c:extLst>
            </c:dLbl>
            <c:dLbl>
              <c:idx val="8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8E0E-44A4-927C-66598995D813}"/>
                </c:ext>
              </c:extLst>
            </c:dLbl>
            <c:dLbl>
              <c:idx val="8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8E0E-44A4-927C-66598995D813}"/>
                </c:ext>
              </c:extLst>
            </c:dLbl>
            <c:dLbl>
              <c:idx val="8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8E0E-44A4-927C-66598995D813}"/>
                </c:ext>
              </c:extLst>
            </c:dLbl>
            <c:dLbl>
              <c:idx val="8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8E0E-44A4-927C-66598995D813}"/>
                </c:ext>
              </c:extLst>
            </c:dLbl>
            <c:dLbl>
              <c:idx val="8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8E0E-44A4-927C-66598995D813}"/>
                </c:ext>
              </c:extLst>
            </c:dLbl>
            <c:dLbl>
              <c:idx val="9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8E0E-44A4-927C-66598995D813}"/>
                </c:ext>
              </c:extLst>
            </c:dLbl>
            <c:dLbl>
              <c:idx val="9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8E0E-44A4-927C-66598995D813}"/>
                </c:ext>
              </c:extLst>
            </c:dLbl>
            <c:dLbl>
              <c:idx val="9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8E0E-44A4-927C-66598995D813}"/>
                </c:ext>
              </c:extLst>
            </c:dLbl>
            <c:dLbl>
              <c:idx val="9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8E0E-44A4-927C-66598995D813}"/>
                </c:ext>
              </c:extLst>
            </c:dLbl>
            <c:dLbl>
              <c:idx val="9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8E0E-44A4-927C-66598995D813}"/>
                </c:ext>
              </c:extLst>
            </c:dLbl>
            <c:dLbl>
              <c:idx val="9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8E0E-44A4-927C-66598995D813}"/>
                </c:ext>
              </c:extLst>
            </c:dLbl>
            <c:dLbl>
              <c:idx val="9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8E0E-44A4-927C-66598995D813}"/>
                </c:ext>
              </c:extLst>
            </c:dLbl>
            <c:dLbl>
              <c:idx val="9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8E0E-44A4-927C-66598995D813}"/>
                </c:ext>
              </c:extLst>
            </c:dLbl>
            <c:dLbl>
              <c:idx val="9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8E0E-44A4-927C-66598995D813}"/>
                </c:ext>
              </c:extLst>
            </c:dLbl>
            <c:dLbl>
              <c:idx val="9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8E0E-44A4-927C-66598995D813}"/>
                </c:ext>
              </c:extLst>
            </c:dLbl>
            <c:dLbl>
              <c:idx val="10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8E0E-44A4-927C-66598995D813}"/>
                </c:ext>
              </c:extLst>
            </c:dLbl>
            <c:dLbl>
              <c:idx val="10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8E0E-44A4-927C-66598995D813}"/>
                </c:ext>
              </c:extLst>
            </c:dLbl>
            <c:dLbl>
              <c:idx val="10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8E0E-44A4-927C-66598995D813}"/>
                </c:ext>
              </c:extLst>
            </c:dLbl>
            <c:dLbl>
              <c:idx val="10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8E0E-44A4-927C-66598995D813}"/>
                </c:ext>
              </c:extLst>
            </c:dLbl>
            <c:dLbl>
              <c:idx val="10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8E0E-44A4-927C-66598995D813}"/>
                </c:ext>
              </c:extLst>
            </c:dLbl>
            <c:dLbl>
              <c:idx val="10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8E0E-44A4-927C-66598995D813}"/>
                </c:ext>
              </c:extLst>
            </c:dLbl>
            <c:dLbl>
              <c:idx val="10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8E0E-44A4-927C-66598995D813}"/>
                </c:ext>
              </c:extLst>
            </c:dLbl>
            <c:dLbl>
              <c:idx val="10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8E0E-44A4-927C-66598995D813}"/>
                </c:ext>
              </c:extLst>
            </c:dLbl>
            <c:dLbl>
              <c:idx val="10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8E0E-44A4-927C-66598995D813}"/>
                </c:ext>
              </c:extLst>
            </c:dLbl>
            <c:dLbl>
              <c:idx val="10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8E0E-44A4-927C-66598995D813}"/>
                </c:ext>
              </c:extLst>
            </c:dLbl>
            <c:dLbl>
              <c:idx val="11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8E0E-44A4-927C-66598995D813}"/>
                </c:ext>
              </c:extLst>
            </c:dLbl>
            <c:dLbl>
              <c:idx val="11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8E0E-44A4-927C-66598995D813}"/>
                </c:ext>
              </c:extLst>
            </c:dLbl>
            <c:dLbl>
              <c:idx val="11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8E0E-44A4-927C-66598995D813}"/>
                </c:ext>
              </c:extLst>
            </c:dLbl>
            <c:dLbl>
              <c:idx val="11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8E0E-44A4-927C-66598995D813}"/>
                </c:ext>
              </c:extLst>
            </c:dLbl>
            <c:dLbl>
              <c:idx val="11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8E0E-44A4-927C-66598995D813}"/>
                </c:ext>
              </c:extLst>
            </c:dLbl>
            <c:dLbl>
              <c:idx val="11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8E0E-44A4-927C-66598995D813}"/>
                </c:ext>
              </c:extLst>
            </c:dLbl>
            <c:dLbl>
              <c:idx val="11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8E0E-44A4-927C-66598995D813}"/>
                </c:ext>
              </c:extLst>
            </c:dLbl>
            <c:dLbl>
              <c:idx val="11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8E0E-44A4-927C-66598995D813}"/>
                </c:ext>
              </c:extLst>
            </c:dLbl>
            <c:dLbl>
              <c:idx val="11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8E0E-44A4-927C-66598995D813}"/>
                </c:ext>
              </c:extLst>
            </c:dLbl>
            <c:dLbl>
              <c:idx val="11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8E0E-44A4-927C-66598995D813}"/>
                </c:ext>
              </c:extLst>
            </c:dLbl>
            <c:dLbl>
              <c:idx val="12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8E0E-44A4-927C-66598995D813}"/>
                </c:ext>
              </c:extLst>
            </c:dLbl>
            <c:dLbl>
              <c:idx val="12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8E0E-44A4-927C-66598995D813}"/>
                </c:ext>
              </c:extLst>
            </c:dLbl>
            <c:dLbl>
              <c:idx val="12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8E0E-44A4-927C-66598995D813}"/>
                </c:ext>
              </c:extLst>
            </c:dLbl>
            <c:dLbl>
              <c:idx val="12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8E0E-44A4-927C-66598995D813}"/>
                </c:ext>
              </c:extLst>
            </c:dLbl>
            <c:dLbl>
              <c:idx val="12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8E0E-44A4-927C-66598995D813}"/>
                </c:ext>
              </c:extLst>
            </c:dLbl>
            <c:dLbl>
              <c:idx val="12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8E0E-44A4-927C-66598995D813}"/>
                </c:ext>
              </c:extLst>
            </c:dLbl>
            <c:dLbl>
              <c:idx val="12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8E0E-44A4-927C-66598995D813}"/>
                </c:ext>
              </c:extLst>
            </c:dLbl>
            <c:dLbl>
              <c:idx val="12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8E0E-44A4-927C-66598995D813}"/>
                </c:ext>
              </c:extLst>
            </c:dLbl>
            <c:dLbl>
              <c:idx val="12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8E0E-44A4-927C-66598995D813}"/>
                </c:ext>
              </c:extLst>
            </c:dLbl>
            <c:dLbl>
              <c:idx val="12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8E0E-44A4-927C-66598995D813}"/>
                </c:ext>
              </c:extLst>
            </c:dLbl>
            <c:dLbl>
              <c:idx val="13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8E0E-44A4-927C-66598995D813}"/>
                </c:ext>
              </c:extLst>
            </c:dLbl>
            <c:dLbl>
              <c:idx val="13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8E0E-44A4-927C-66598995D813}"/>
                </c:ext>
              </c:extLst>
            </c:dLbl>
            <c:dLbl>
              <c:idx val="13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8E0E-44A4-927C-66598995D813}"/>
                </c:ext>
              </c:extLst>
            </c:dLbl>
            <c:dLbl>
              <c:idx val="13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8E0E-44A4-927C-66598995D813}"/>
                </c:ext>
              </c:extLst>
            </c:dLbl>
            <c:dLbl>
              <c:idx val="13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8E0E-44A4-927C-66598995D813}"/>
                </c:ext>
              </c:extLst>
            </c:dLbl>
            <c:dLbl>
              <c:idx val="13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8E0E-44A4-927C-66598995D813}"/>
                </c:ext>
              </c:extLst>
            </c:dLbl>
            <c:dLbl>
              <c:idx val="13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8E0E-44A4-927C-66598995D813}"/>
                </c:ext>
              </c:extLst>
            </c:dLbl>
            <c:dLbl>
              <c:idx val="13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8E0E-44A4-927C-66598995D813}"/>
                </c:ext>
              </c:extLst>
            </c:dLbl>
            <c:dLbl>
              <c:idx val="13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8E0E-44A4-927C-66598995D813}"/>
                </c:ext>
              </c:extLst>
            </c:dLbl>
            <c:dLbl>
              <c:idx val="13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8E0E-44A4-927C-66598995D813}"/>
                </c:ext>
              </c:extLst>
            </c:dLbl>
            <c:dLbl>
              <c:idx val="14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8E0E-44A4-927C-66598995D813}"/>
                </c:ext>
              </c:extLst>
            </c:dLbl>
            <c:dLbl>
              <c:idx val="14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8E0E-44A4-927C-66598995D813}"/>
                </c:ext>
              </c:extLst>
            </c:dLbl>
            <c:dLbl>
              <c:idx val="14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8E0E-44A4-927C-66598995D813}"/>
                </c:ext>
              </c:extLst>
            </c:dLbl>
            <c:dLbl>
              <c:idx val="14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8E0E-44A4-927C-66598995D813}"/>
                </c:ext>
              </c:extLst>
            </c:dLbl>
            <c:dLbl>
              <c:idx val="14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8E0E-44A4-927C-66598995D813}"/>
                </c:ext>
              </c:extLst>
            </c:dLbl>
            <c:dLbl>
              <c:idx val="14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8E0E-44A4-927C-66598995D813}"/>
                </c:ext>
              </c:extLst>
            </c:dLbl>
            <c:dLbl>
              <c:idx val="14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8E0E-44A4-927C-66598995D813}"/>
                </c:ext>
              </c:extLst>
            </c:dLbl>
            <c:dLbl>
              <c:idx val="14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8E0E-44A4-927C-66598995D813}"/>
                </c:ext>
              </c:extLst>
            </c:dLbl>
            <c:dLbl>
              <c:idx val="14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8E0E-44A4-927C-66598995D813}"/>
                </c:ext>
              </c:extLst>
            </c:dLbl>
            <c:dLbl>
              <c:idx val="14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8E0E-44A4-927C-66598995D813}"/>
                </c:ext>
              </c:extLst>
            </c:dLbl>
            <c:dLbl>
              <c:idx val="15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8E0E-44A4-927C-66598995D813}"/>
                </c:ext>
              </c:extLst>
            </c:dLbl>
            <c:dLbl>
              <c:idx val="15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8E0E-44A4-927C-66598995D813}"/>
                </c:ext>
              </c:extLst>
            </c:dLbl>
            <c:dLbl>
              <c:idx val="15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8E0E-44A4-927C-66598995D813}"/>
                </c:ext>
              </c:extLst>
            </c:dLbl>
            <c:dLbl>
              <c:idx val="15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8E0E-44A4-927C-66598995D813}"/>
                </c:ext>
              </c:extLst>
            </c:dLbl>
            <c:dLbl>
              <c:idx val="15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8E0E-44A4-927C-66598995D813}"/>
                </c:ext>
              </c:extLst>
            </c:dLbl>
            <c:dLbl>
              <c:idx val="15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8E0E-44A4-927C-66598995D813}"/>
                </c:ext>
              </c:extLst>
            </c:dLbl>
            <c:dLbl>
              <c:idx val="156"/>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8E0E-44A4-927C-66598995D813}"/>
                </c:ext>
              </c:extLst>
            </c:dLbl>
            <c:dLbl>
              <c:idx val="157"/>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8E0E-44A4-927C-66598995D813}"/>
                </c:ext>
              </c:extLst>
            </c:dLbl>
            <c:dLbl>
              <c:idx val="158"/>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8E0E-44A4-927C-66598995D813}"/>
                </c:ext>
              </c:extLst>
            </c:dLbl>
            <c:dLbl>
              <c:idx val="159"/>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8E0E-44A4-927C-66598995D813}"/>
                </c:ext>
              </c:extLst>
            </c:dLbl>
            <c:dLbl>
              <c:idx val="160"/>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8E0E-44A4-927C-66598995D813}"/>
                </c:ext>
              </c:extLst>
            </c:dLbl>
            <c:dLbl>
              <c:idx val="161"/>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8E0E-44A4-927C-66598995D813}"/>
                </c:ext>
              </c:extLst>
            </c:dLbl>
            <c:dLbl>
              <c:idx val="162"/>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8E0E-44A4-927C-66598995D813}"/>
                </c:ext>
              </c:extLst>
            </c:dLbl>
            <c:dLbl>
              <c:idx val="163"/>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8E0E-44A4-927C-66598995D813}"/>
                </c:ext>
              </c:extLst>
            </c:dLbl>
            <c:dLbl>
              <c:idx val="164"/>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8E0E-44A4-927C-66598995D813}"/>
                </c:ext>
              </c:extLst>
            </c:dLbl>
            <c:dLbl>
              <c:idx val="165"/>
              <c:tx>
                <c:rich>
                  <a:bodyPr/>
                  <a:lstStyle/>
                  <a:p>
                    <a:endParaRPr lang="en-GB"/>
                  </a:p>
                </c:rich>
              </c:tx>
              <c:dLblPos val="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8E0E-44A4-927C-66598995D8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Chart'!$AA$6:$AA$171</c:f>
              <c:numCache>
                <c:formatCode>0.0</c:formatCode>
                <c:ptCount val="166"/>
                <c:pt idx="0">
                  <c:v>4.5999999999999996</c:v>
                </c:pt>
                <c:pt idx="1">
                  <c:v>4.8</c:v>
                </c:pt>
                <c:pt idx="2">
                  <c:v>4.0999999999999996</c:v>
                </c:pt>
                <c:pt idx="3">
                  <c:v>0.2</c:v>
                </c:pt>
                <c:pt idx="4">
                  <c:v>4.9000000000000004</c:v>
                </c:pt>
                <c:pt idx="5">
                  <c:v>4.5</c:v>
                </c:pt>
                <c:pt idx="6">
                  <c:v>1.1000000000000001</c:v>
                </c:pt>
                <c:pt idx="7">
                  <c:v>1.8</c:v>
                </c:pt>
                <c:pt idx="8">
                  <c:v>3.7</c:v>
                </c:pt>
                <c:pt idx="9">
                  <c:v>1.8</c:v>
                </c:pt>
                <c:pt idx="10">
                  <c:v>2.2000000000000002</c:v>
                </c:pt>
                <c:pt idx="11">
                  <c:v>1.8</c:v>
                </c:pt>
                <c:pt idx="12">
                  <c:v>1.5</c:v>
                </c:pt>
                <c:pt idx="13">
                  <c:v>5</c:v>
                </c:pt>
                <c:pt idx="14">
                  <c:v>0.7</c:v>
                </c:pt>
                <c:pt idx="15">
                  <c:v>3.7</c:v>
                </c:pt>
                <c:pt idx="16">
                  <c:v>4</c:v>
                </c:pt>
                <c:pt idx="17">
                  <c:v>3.9</c:v>
                </c:pt>
                <c:pt idx="18">
                  <c:v>2.6</c:v>
                </c:pt>
                <c:pt idx="19">
                  <c:v>3</c:v>
                </c:pt>
                <c:pt idx="20">
                  <c:v>2.1</c:v>
                </c:pt>
                <c:pt idx="21">
                  <c:v>0.4</c:v>
                </c:pt>
                <c:pt idx="22">
                  <c:v>4</c:v>
                </c:pt>
                <c:pt idx="23">
                  <c:v>0.3</c:v>
                </c:pt>
                <c:pt idx="24">
                  <c:v>3.4</c:v>
                </c:pt>
                <c:pt idx="25">
                  <c:v>1.1000000000000001</c:v>
                </c:pt>
                <c:pt idx="26">
                  <c:v>0.8</c:v>
                </c:pt>
                <c:pt idx="27">
                  <c:v>2.8</c:v>
                </c:pt>
                <c:pt idx="28">
                  <c:v>3.1</c:v>
                </c:pt>
                <c:pt idx="29">
                  <c:v>4.7</c:v>
                </c:pt>
                <c:pt idx="30">
                  <c:v>1.9</c:v>
                </c:pt>
                <c:pt idx="31">
                  <c:v>1.7</c:v>
                </c:pt>
                <c:pt idx="32">
                  <c:v>0.3</c:v>
                </c:pt>
                <c:pt idx="33">
                  <c:v>1.2</c:v>
                </c:pt>
                <c:pt idx="34">
                  <c:v>5</c:v>
                </c:pt>
                <c:pt idx="35">
                  <c:v>2.1</c:v>
                </c:pt>
                <c:pt idx="36">
                  <c:v>3</c:v>
                </c:pt>
                <c:pt idx="37">
                  <c:v>0.9</c:v>
                </c:pt>
                <c:pt idx="38">
                  <c:v>2.5</c:v>
                </c:pt>
                <c:pt idx="39">
                  <c:v>1.2</c:v>
                </c:pt>
                <c:pt idx="40">
                  <c:v>2</c:v>
                </c:pt>
                <c:pt idx="41">
                  <c:v>2.7</c:v>
                </c:pt>
                <c:pt idx="42">
                  <c:v>2.2000000000000002</c:v>
                </c:pt>
                <c:pt idx="43">
                  <c:v>2.8</c:v>
                </c:pt>
                <c:pt idx="44">
                  <c:v>3.8</c:v>
                </c:pt>
                <c:pt idx="45">
                  <c:v>4.5</c:v>
                </c:pt>
                <c:pt idx="46">
                  <c:v>2.4</c:v>
                </c:pt>
                <c:pt idx="47">
                  <c:v>0.2</c:v>
                </c:pt>
                <c:pt idx="48">
                  <c:v>0.6</c:v>
                </c:pt>
                <c:pt idx="49">
                  <c:v>0.7</c:v>
                </c:pt>
                <c:pt idx="50">
                  <c:v>0.1</c:v>
                </c:pt>
                <c:pt idx="51">
                  <c:v>0.5</c:v>
                </c:pt>
                <c:pt idx="52">
                  <c:v>2.2999999999999998</c:v>
                </c:pt>
                <c:pt idx="53">
                  <c:v>0.3</c:v>
                </c:pt>
                <c:pt idx="54">
                  <c:v>3.4</c:v>
                </c:pt>
                <c:pt idx="55">
                  <c:v>3</c:v>
                </c:pt>
                <c:pt idx="56">
                  <c:v>4.5</c:v>
                </c:pt>
              </c:numCache>
            </c:numRef>
          </c:xVal>
          <c:yVal>
            <c:numRef>
              <c:f>'Scatter Chart'!$Z$6:$Z$171</c:f>
              <c:numCache>
                <c:formatCode>0.0</c:formatCode>
                <c:ptCount val="166"/>
                <c:pt idx="0">
                  <c:v>2.4</c:v>
                </c:pt>
                <c:pt idx="1">
                  <c:v>3.9</c:v>
                </c:pt>
                <c:pt idx="2">
                  <c:v>3</c:v>
                </c:pt>
                <c:pt idx="3">
                  <c:v>2.9</c:v>
                </c:pt>
                <c:pt idx="4">
                  <c:v>2.8</c:v>
                </c:pt>
                <c:pt idx="5">
                  <c:v>2.8</c:v>
                </c:pt>
                <c:pt idx="6">
                  <c:v>0.8</c:v>
                </c:pt>
                <c:pt idx="7">
                  <c:v>5</c:v>
                </c:pt>
                <c:pt idx="8">
                  <c:v>1.2</c:v>
                </c:pt>
                <c:pt idx="9">
                  <c:v>3.9</c:v>
                </c:pt>
                <c:pt idx="10">
                  <c:v>3.4</c:v>
                </c:pt>
                <c:pt idx="11">
                  <c:v>2.2999999999999998</c:v>
                </c:pt>
                <c:pt idx="12">
                  <c:v>3.3</c:v>
                </c:pt>
                <c:pt idx="13">
                  <c:v>3</c:v>
                </c:pt>
                <c:pt idx="14">
                  <c:v>2.7</c:v>
                </c:pt>
                <c:pt idx="15">
                  <c:v>2</c:v>
                </c:pt>
                <c:pt idx="16">
                  <c:v>0.6</c:v>
                </c:pt>
                <c:pt idx="17">
                  <c:v>4.5999999999999996</c:v>
                </c:pt>
                <c:pt idx="18">
                  <c:v>2.6</c:v>
                </c:pt>
                <c:pt idx="19">
                  <c:v>2.5</c:v>
                </c:pt>
                <c:pt idx="20">
                  <c:v>4.3</c:v>
                </c:pt>
                <c:pt idx="21">
                  <c:v>1.5</c:v>
                </c:pt>
                <c:pt idx="22">
                  <c:v>1.8</c:v>
                </c:pt>
                <c:pt idx="23">
                  <c:v>1.6</c:v>
                </c:pt>
                <c:pt idx="24">
                  <c:v>3.3</c:v>
                </c:pt>
                <c:pt idx="25">
                  <c:v>1.6</c:v>
                </c:pt>
                <c:pt idx="26">
                  <c:v>3.2</c:v>
                </c:pt>
                <c:pt idx="27">
                  <c:v>4.3</c:v>
                </c:pt>
                <c:pt idx="28">
                  <c:v>4.5999999999999996</c:v>
                </c:pt>
                <c:pt idx="29">
                  <c:v>3.1</c:v>
                </c:pt>
                <c:pt idx="30">
                  <c:v>3.4</c:v>
                </c:pt>
                <c:pt idx="31">
                  <c:v>2</c:v>
                </c:pt>
                <c:pt idx="32">
                  <c:v>3.6</c:v>
                </c:pt>
                <c:pt idx="33">
                  <c:v>0.9</c:v>
                </c:pt>
                <c:pt idx="34">
                  <c:v>3</c:v>
                </c:pt>
                <c:pt idx="35">
                  <c:v>2</c:v>
                </c:pt>
                <c:pt idx="36">
                  <c:v>2.2000000000000002</c:v>
                </c:pt>
                <c:pt idx="37">
                  <c:v>2.1</c:v>
                </c:pt>
                <c:pt idx="38">
                  <c:v>4.4000000000000004</c:v>
                </c:pt>
                <c:pt idx="39">
                  <c:v>4.5</c:v>
                </c:pt>
                <c:pt idx="40">
                  <c:v>1.6</c:v>
                </c:pt>
                <c:pt idx="41">
                  <c:v>1.8</c:v>
                </c:pt>
                <c:pt idx="42">
                  <c:v>0.9</c:v>
                </c:pt>
                <c:pt idx="43">
                  <c:v>1.4</c:v>
                </c:pt>
                <c:pt idx="44">
                  <c:v>2.2999999999999998</c:v>
                </c:pt>
                <c:pt idx="45">
                  <c:v>1.6</c:v>
                </c:pt>
                <c:pt idx="46">
                  <c:v>1.1000000000000001</c:v>
                </c:pt>
                <c:pt idx="47">
                  <c:v>3.1</c:v>
                </c:pt>
                <c:pt idx="48">
                  <c:v>1.9</c:v>
                </c:pt>
                <c:pt idx="49">
                  <c:v>4.7</c:v>
                </c:pt>
                <c:pt idx="50">
                  <c:v>3.2</c:v>
                </c:pt>
                <c:pt idx="51">
                  <c:v>3.4</c:v>
                </c:pt>
                <c:pt idx="52">
                  <c:v>1.7</c:v>
                </c:pt>
                <c:pt idx="53">
                  <c:v>0.5</c:v>
                </c:pt>
                <c:pt idx="54">
                  <c:v>5</c:v>
                </c:pt>
                <c:pt idx="55">
                  <c:v>0.9</c:v>
                </c:pt>
                <c:pt idx="56">
                  <c:v>2.7</c:v>
                </c:pt>
              </c:numCache>
            </c:numRef>
          </c:yVal>
          <c:smooth val="0"/>
          <c:extLst>
            <c:ext xmlns:c15="http://schemas.microsoft.com/office/drawing/2012/chart" uri="{02D57815-91ED-43cb-92C2-25804820EDAC}">
              <c15:datalabelsRange>
                <c15:f>'Scatter Chart'!$Y$6:$Y$171</c15:f>
                <c15:dlblRangeCache>
                  <c:ptCount val="166"/>
                  <c:pt idx="0">
                    <c:v>Loretta</c:v>
                  </c:pt>
                  <c:pt idx="1">
                    <c:v>Efrain</c:v>
                  </c:pt>
                  <c:pt idx="2">
                    <c:v>Billie</c:v>
                  </c:pt>
                  <c:pt idx="3">
                    <c:v>Garland</c:v>
                  </c:pt>
                  <c:pt idx="4">
                    <c:v>Miles</c:v>
                  </c:pt>
                  <c:pt idx="5">
                    <c:v>Micah</c:v>
                  </c:pt>
                  <c:pt idx="6">
                    <c:v>Melanie</c:v>
                  </c:pt>
                  <c:pt idx="7">
                    <c:v>Sammy</c:v>
                  </c:pt>
                  <c:pt idx="8">
                    <c:v>Eldon</c:v>
                  </c:pt>
                  <c:pt idx="9">
                    <c:v>Leland</c:v>
                  </c:pt>
                  <c:pt idx="10">
                    <c:v>Grady</c:v>
                  </c:pt>
                  <c:pt idx="11">
                    <c:v>Otto</c:v>
                  </c:pt>
                  <c:pt idx="12">
                    <c:v>Carroll</c:v>
                  </c:pt>
                  <c:pt idx="13">
                    <c:v>Dewayne</c:v>
                  </c:pt>
                  <c:pt idx="14">
                    <c:v>Will</c:v>
                  </c:pt>
                  <c:pt idx="15">
                    <c:v>Marlon</c:v>
                  </c:pt>
                  <c:pt idx="16">
                    <c:v>Morgan</c:v>
                  </c:pt>
                  <c:pt idx="17">
                    <c:v>Jeanette</c:v>
                  </c:pt>
                  <c:pt idx="18">
                    <c:v>Phil</c:v>
                  </c:pt>
                  <c:pt idx="19">
                    <c:v>Shannon</c:v>
                  </c:pt>
                  <c:pt idx="20">
                    <c:v>Laurie</c:v>
                  </c:pt>
                  <c:pt idx="21">
                    <c:v>Bret</c:v>
                  </c:pt>
                  <c:pt idx="22">
                    <c:v>Emanuel</c:v>
                  </c:pt>
                  <c:pt idx="23">
                    <c:v>Jerald</c:v>
                  </c:pt>
                  <c:pt idx="24">
                    <c:v>Cornelius</c:v>
                  </c:pt>
                  <c:pt idx="25">
                    <c:v>Harley</c:v>
                  </c:pt>
                  <c:pt idx="26">
                    <c:v>Brittany</c:v>
                  </c:pt>
                  <c:pt idx="27">
                    <c:v>Demetrius</c:v>
                  </c:pt>
                  <c:pt idx="28">
                    <c:v>Edmond</c:v>
                  </c:pt>
                  <c:pt idx="29">
                    <c:v>Rodger</c:v>
                  </c:pt>
                  <c:pt idx="30">
                    <c:v>Yolanda</c:v>
                  </c:pt>
                  <c:pt idx="31">
                    <c:v>Katie</c:v>
                  </c:pt>
                  <c:pt idx="32">
                    <c:v>Josephine</c:v>
                  </c:pt>
                  <c:pt idx="33">
                    <c:v>Edith</c:v>
                  </c:pt>
                  <c:pt idx="34">
                    <c:v>Woodrow</c:v>
                  </c:pt>
                  <c:pt idx="35">
                    <c:v>Thelma</c:v>
                  </c:pt>
                  <c:pt idx="36">
                    <c:v>Reynaldo</c:v>
                  </c:pt>
                  <c:pt idx="37">
                    <c:v>Teddy</c:v>
                  </c:pt>
                  <c:pt idx="38">
                    <c:v>Emmett</c:v>
                  </c:pt>
                  <c:pt idx="39">
                    <c:v>Salvador</c:v>
                  </c:pt>
                  <c:pt idx="40">
                    <c:v>Kim</c:v>
                  </c:pt>
                  <c:pt idx="41">
                    <c:v>Sherry</c:v>
                  </c:pt>
                  <c:pt idx="42">
                    <c:v>Kristopher</c:v>
                  </c:pt>
                  <c:pt idx="43">
                    <c:v>Emil</c:v>
                  </c:pt>
                  <c:pt idx="44">
                    <c:v>Ethan</c:v>
                  </c:pt>
                  <c:pt idx="45">
                    <c:v>Kristen</c:v>
                  </c:pt>
                  <c:pt idx="46">
                    <c:v>Perry</c:v>
                  </c:pt>
                  <c:pt idx="47">
                    <c:v>Heath</c:v>
                  </c:pt>
                  <c:pt idx="48">
                    <c:v>Kirk</c:v>
                  </c:pt>
                  <c:pt idx="49">
                    <c:v>Wendy</c:v>
                  </c:pt>
                  <c:pt idx="50">
                    <c:v>Byron</c:v>
                  </c:pt>
                  <c:pt idx="51">
                    <c:v>Julian</c:v>
                  </c:pt>
                  <c:pt idx="52">
                    <c:v>Johnnie</c:v>
                  </c:pt>
                  <c:pt idx="53">
                    <c:v>Sidney</c:v>
                  </c:pt>
                  <c:pt idx="54">
                    <c:v>Grace</c:v>
                  </c:pt>
                  <c:pt idx="55">
                    <c:v>Sergio</c:v>
                  </c:pt>
                  <c:pt idx="56">
                    <c:v>WALLY</c:v>
                  </c:pt>
                </c15:dlblRangeCache>
              </c15:datalabelsRange>
            </c:ext>
            <c:ext xmlns:c16="http://schemas.microsoft.com/office/drawing/2014/chart" uri="{C3380CC4-5D6E-409C-BE32-E72D297353CC}">
              <c16:uniqueId val="{000000A6-8E0E-44A4-927C-66598995D813}"/>
            </c:ext>
          </c:extLst>
        </c:ser>
        <c:dLbls>
          <c:showLegendKey val="0"/>
          <c:showVal val="0"/>
          <c:showCatName val="0"/>
          <c:showSerName val="0"/>
          <c:showPercent val="0"/>
          <c:showBubbleSize val="0"/>
        </c:dLbls>
        <c:axId val="-291688160"/>
        <c:axId val="-291703392"/>
      </c:scatterChart>
      <c:valAx>
        <c:axId val="-291688160"/>
        <c:scaling>
          <c:orientation val="minMax"/>
          <c:max val="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Potential Rating</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03392"/>
        <c:crosses val="autoZero"/>
        <c:crossBetween val="midCat"/>
        <c:majorUnit val="2"/>
      </c:valAx>
      <c:valAx>
        <c:axId val="-291703392"/>
        <c:scaling>
          <c:orientation val="minMax"/>
          <c:max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Performance Rating</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688160"/>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0</xdr:rowOff>
    </xdr:from>
    <xdr:to>
      <xdr:col>4</xdr:col>
      <xdr:colOff>234950</xdr:colOff>
      <xdr:row>3</xdr:row>
      <xdr:rowOff>0</xdr:rowOff>
    </xdr:to>
    <mc:AlternateContent xmlns:mc="http://schemas.openxmlformats.org/markup-compatibility/2006" xmlns:a14="http://schemas.microsoft.com/office/drawing/2010/main">
      <mc:Choice Requires="a14">
        <xdr:graphicFrame macro="">
          <xdr:nvGraphicFramePr>
            <xdr:cNvPr id="4" name="Period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Period 1"/>
            </a:graphicData>
          </a:graphic>
        </xdr:graphicFrame>
      </mc:Choice>
      <mc:Fallback xmlns="">
        <xdr:sp macro="" textlink="">
          <xdr:nvSpPr>
            <xdr:cNvPr id="0" name=""/>
            <xdr:cNvSpPr>
              <a:spLocks noTextEdit="1"/>
            </xdr:cNvSpPr>
          </xdr:nvSpPr>
          <xdr:spPr>
            <a:xfrm>
              <a:off x="295276" y="0"/>
              <a:ext cx="2066924"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266701</xdr:colOff>
      <xdr:row>0</xdr:row>
      <xdr:rowOff>0</xdr:rowOff>
    </xdr:from>
    <xdr:to>
      <xdr:col>12</xdr:col>
      <xdr:colOff>25400</xdr:colOff>
      <xdr:row>3</xdr:row>
      <xdr:rowOff>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09826" y="0"/>
              <a:ext cx="4638674" cy="6572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3</xdr:row>
      <xdr:rowOff>76200</xdr:rowOff>
    </xdr:from>
    <xdr:to>
      <xdr:col>21</xdr:col>
      <xdr:colOff>581025</xdr:colOff>
      <xdr:row>39</xdr:row>
      <xdr:rowOff>104775</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47624</xdr:colOff>
      <xdr:row>0</xdr:row>
      <xdr:rowOff>0</xdr:rowOff>
    </xdr:from>
    <xdr:to>
      <xdr:col>22</xdr:col>
      <xdr:colOff>0</xdr:colOff>
      <xdr:row>3</xdr:row>
      <xdr:rowOff>0</xdr:rowOff>
    </xdr:to>
    <mc:AlternateContent xmlns:mc="http://schemas.openxmlformats.org/markup-compatibility/2006" xmlns:a14="http://schemas.microsoft.com/office/drawing/2010/main">
      <mc:Choice Requires="a14">
        <xdr:graphicFrame macro="">
          <xdr:nvGraphicFramePr>
            <xdr:cNvPr id="8" name="Group">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7070724" y="0"/>
              <a:ext cx="6045201" cy="6572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esh" refreshedDate="42856.710146990743" createdVersion="5" refreshedVersion="5" minRefreshableVersion="3" recordCount="498" xr:uid="{00000000-000A-0000-FFFF-FFFF01000000}">
  <cacheSource type="worksheet">
    <worksheetSource name="Performance"/>
  </cacheSource>
  <cacheFields count="8">
    <cacheField name="EID" numFmtId="0">
      <sharedItems count="166">
        <s v="8"/>
        <s v="761"/>
        <s v="446"/>
        <s v="781"/>
        <s v="782"/>
        <s v="765"/>
        <s v="770"/>
        <s v="771"/>
        <s v="772"/>
        <s v="774"/>
        <s v="603"/>
        <s v="110"/>
        <s v="138"/>
        <s v="704"/>
        <s v="710"/>
        <s v="152"/>
        <s v="719"/>
        <s v="176"/>
        <s v="725"/>
        <s v="186"/>
        <s v="2"/>
        <s v="454"/>
        <s v="345"/>
        <s v="294"/>
        <s v="207"/>
        <s v="231"/>
        <s v="233"/>
        <s v="262"/>
        <s v="265"/>
        <s v="277"/>
        <s v="303"/>
        <s v="328"/>
        <s v="344"/>
        <s v="363"/>
        <s v="395"/>
        <s v="448"/>
        <s v="449"/>
        <s v="471"/>
        <s v="472"/>
        <s v="480"/>
        <s v="486"/>
        <s v="488"/>
        <s v="533"/>
        <s v="699"/>
        <s v="550"/>
        <s v="604"/>
        <s v="568"/>
        <s v="810"/>
        <s v="58"/>
        <s v="621"/>
        <s v="653"/>
        <s v="66"/>
        <s v="674"/>
        <s v="678"/>
        <s v="763"/>
        <s v="692"/>
        <s v="749"/>
        <s v="696"/>
        <s v="753"/>
        <s v="702"/>
        <s v="720"/>
        <s v="727"/>
        <s v="736"/>
        <s v="758"/>
        <s v="788"/>
        <s v="809"/>
        <s v="185"/>
        <s v="586"/>
        <s v="731"/>
        <s v="746"/>
        <s v="764"/>
        <s v="767"/>
        <s v="776"/>
        <s v="141"/>
        <s v="143"/>
        <s v="711"/>
        <s v="641"/>
        <s v="700"/>
        <s v="717"/>
        <s v="730"/>
        <s v="769"/>
        <s v="766"/>
        <s v="778"/>
        <s v="518"/>
        <s v="497"/>
        <s v="626"/>
        <s v="130"/>
        <s v="660"/>
        <s v="659"/>
        <s v="732"/>
        <s v="755"/>
        <s v="421"/>
        <s v="425"/>
        <s v="263"/>
        <s v="405"/>
        <s v="408"/>
        <s v="410"/>
        <s v="413"/>
        <s v="499"/>
        <s v="534"/>
        <s v="541"/>
        <s v="545"/>
        <s v="565"/>
        <s v="588"/>
        <s v="598"/>
        <s v="612"/>
        <s v="614"/>
        <s v="620"/>
        <s v="624"/>
        <s v="625"/>
        <s v="64"/>
        <s v="650"/>
        <s v="661"/>
        <s v="670"/>
        <s v="673"/>
        <s v="676"/>
        <s v="685"/>
        <s v="806"/>
        <s v="686"/>
        <s v="705"/>
        <s v="706"/>
        <s v="721"/>
        <s v="723"/>
        <s v="728"/>
        <s v="743"/>
        <s v="747"/>
        <s v="768"/>
        <s v="779"/>
        <s v="780"/>
        <s v="775"/>
        <s v="807"/>
        <s v="811"/>
        <s v="812"/>
        <s v="813"/>
        <s v="784"/>
        <s v="786"/>
        <s v="789"/>
        <s v="800"/>
        <s v="799"/>
        <s v="792"/>
        <s v="793"/>
        <s v="794"/>
        <s v="795"/>
        <s v="796"/>
        <s v="797"/>
        <s v="802"/>
        <s v="803"/>
        <s v="816"/>
        <s v="808"/>
        <s v="785"/>
        <s v="790"/>
        <s v="787"/>
        <s v="791"/>
        <s v="801"/>
        <s v="805"/>
        <s v="814"/>
        <s v="320"/>
        <s v="777"/>
        <s v="735"/>
        <s v="756"/>
        <s v="757"/>
        <s v="301"/>
        <s v="584"/>
        <s v="677"/>
        <s v="750"/>
        <s v="798"/>
      </sharedItems>
    </cacheField>
    <cacheField name="Period" numFmtId="0">
      <sharedItems containsSemiMixedTypes="0" containsString="0" containsNumber="1" containsInteger="1" minValue="2014" maxValue="2016" count="3">
        <n v="2016"/>
        <n v="2015"/>
        <n v="2014"/>
      </sharedItems>
    </cacheField>
    <cacheField name="Potential" numFmtId="0">
      <sharedItems containsSemiMixedTypes="0" containsString="0" containsNumber="1" minValue="0.1" maxValue="5"/>
    </cacheField>
    <cacheField name="Rating" numFmtId="0">
      <sharedItems containsSemiMixedTypes="0" containsString="0" containsNumber="1" minValue="0.5" maxValue="5" count="46">
        <n v="2.5"/>
        <n v="1.2"/>
        <n v="2.8"/>
        <n v="1.1000000000000001"/>
        <n v="2.2000000000000002"/>
        <n v="1.7"/>
        <n v="1.3"/>
        <n v="0.9"/>
        <n v="1"/>
        <n v="2.7"/>
        <n v="2"/>
        <n v="2.4"/>
        <n v="2.9"/>
        <n v="2.1"/>
        <n v="1.6"/>
        <n v="4.5"/>
        <n v="1.8"/>
        <n v="0.5"/>
        <n v="0.6"/>
        <n v="4"/>
        <n v="3.8"/>
        <n v="3.7"/>
        <n v="3.6"/>
        <n v="3.4"/>
        <n v="4.9000000000000004"/>
        <n v="5"/>
        <n v="3.1"/>
        <n v="4.7"/>
        <n v="1.9"/>
        <n v="2.6"/>
        <n v="4.3"/>
        <n v="3.5"/>
        <n v="3.3"/>
        <n v="0.7"/>
        <n v="3"/>
        <n v="3.9"/>
        <n v="2.2999999999999998"/>
        <n v="0.8"/>
        <n v="3.2"/>
        <n v="1.5"/>
        <n v="4.4000000000000004"/>
        <n v="1.4"/>
        <n v="4.2"/>
        <n v="4.5999999999999996"/>
        <n v="4.8"/>
        <n v="4.0999999999999996"/>
      </sharedItems>
      <fieldGroup base="3">
        <rangePr autoStart="0" startNum="0" endNum="5"/>
        <groupItems count="7">
          <s v="&lt;0"/>
          <s v="0-1"/>
          <s v="1-2"/>
          <s v="2-3"/>
          <s v="3-4"/>
          <s v="4-5"/>
          <s v="&gt;5"/>
        </groupItems>
      </fieldGroup>
    </cacheField>
    <cacheField name="Department" numFmtId="0">
      <sharedItems count="5">
        <s v="Accounts"/>
        <s v="Sales"/>
        <s v="Operations"/>
        <s v="IT"/>
        <s v="Contracting"/>
      </sharedItems>
    </cacheField>
    <cacheField name="Name" numFmtId="0">
      <sharedItems count="166">
        <s v="Rufus Winters"/>
        <s v="Woodrow Eaton"/>
        <s v="Leland Abbott"/>
        <s v="Levi Kline"/>
        <s v="Marcos Jacobson"/>
        <s v="Al Beasley"/>
        <s v="Gustavo Zamora"/>
        <s v="Jake Macdonald"/>
        <s v="Lionel Vance"/>
        <s v="Marty Snow"/>
        <s v="Darrel Hensley"/>
        <s v="Isaac Montoya"/>
        <s v="Cleveland Cardenas"/>
        <s v="Sheldon Golden"/>
        <s v="Erick Walter"/>
        <s v="Lamont Wilkins"/>
        <s v="Doyle Rich"/>
        <s v="Dexter Hoover"/>
        <s v="Stewart Suarez"/>
        <s v="Efrain Underwood"/>
        <s v="Billie Short"/>
        <s v="Elias Sweeney"/>
        <s v="Elbert Skinner"/>
        <s v="Noah Rivas"/>
        <s v="Clay Wilcox"/>
        <s v="Garland Carey"/>
        <s v="Miles Clayton"/>
        <s v="Micah Poole"/>
        <s v="Lamar Gallegos"/>
        <s v="Rolando Greer"/>
        <s v="Louie Franco"/>
        <s v="Merle Pittman"/>
        <s v="Logan Randall"/>
        <s v="Bradford Wilkinson"/>
        <s v="Vicente Kirby"/>
        <s v="Grady Charles"/>
        <s v="Otto Allison"/>
        <s v="Carroll Atkinson"/>
        <s v="Terrell Horn"/>
        <s v="Moses Jefferson"/>
        <s v="Irvin Rosales"/>
        <s v="Stephan York"/>
        <s v="Rocky Bond"/>
        <s v="Cornelius Russo"/>
        <s v="Dewayne Gates"/>
        <s v="Phil Atkins"/>
        <s v="Abel Mathews"/>
        <s v="Julian Bullock"/>
        <s v="Virgil Hodge"/>
        <s v="Winston Shields"/>
        <s v="Aubrey Camacho"/>
        <s v="Boyd Parrish"/>
        <s v="Freddy Berg"/>
        <s v="Andy Savage"/>
        <s v="Ross Clay"/>
        <s v="Emilio Salas"/>
        <s v="Tommie Henson"/>
        <s v="Elijah Marks"/>
        <s v="Darrin Dyer"/>
        <s v="Humberto Baxter"/>
        <s v="Roman Humphrey"/>
        <s v="Rodger Hobbs"/>
        <s v="Clark Khan"/>
        <s v="Darnell Tanner"/>
        <s v="Ethan Prince"/>
        <s v="Byron Whitehead"/>
        <s v="Loretta Nicholson"/>
        <s v="Victoria Trevino"/>
        <s v="Katie Ibarra"/>
        <s v="Josephine Ware"/>
        <s v="Thelma Barron"/>
        <s v="Wilfred Small"/>
        <s v="Taylor Stafford"/>
        <s v="Morris Fuentes"/>
        <s v="Pierre Weiss"/>
        <s v="Frankie Mcdowell"/>
        <s v="Bret Cline"/>
        <s v="Harley Sawyer"/>
        <s v="Jess Wiley"/>
        <s v="Junior Gilmore"/>
        <s v="Emmett Wu"/>
        <s v="Reynaldo Oneal"/>
        <s v="Holly Barry"/>
        <s v="Bert Dickerson"/>
        <s v="Rogelio Phelps"/>
        <s v="Terence Grimes"/>
        <s v="Percy Roth"/>
        <s v="Santiago Oneill"/>
        <s v="Alonzo Dillon"/>
        <s v="Josh Keith"/>
        <s v="Ignacio Mcclure"/>
        <s v="Ramiro Bradford"/>
        <s v="Conrad Boone"/>
        <s v="Pat Calderon"/>
        <s v="Darin Kirk"/>
        <s v="Amos Bruce"/>
        <s v="Eldon Singleton"/>
        <s v="Dominick Mathis"/>
        <s v="Van Farrell"/>
        <s v="Saul Wyatt"/>
        <s v="Clifton Foley"/>
        <s v="Willard Chase"/>
        <s v="Will Vincent"/>
        <s v="Morgan Villarreal"/>
        <s v="Jeanette Heath"/>
        <s v="Shannon Huffman"/>
        <s v="Laurie Roy"/>
        <s v="Trent Boyer"/>
        <s v="Brendan Lin"/>
        <s v="Toby Hancock"/>
        <s v="Domingo Glenn"/>
        <s v="Santos Delacruz"/>
        <s v="Cary Melton"/>
        <s v="Simon Booth"/>
        <s v="Marshall Kane"/>
        <s v="Emanuel Harrell"/>
        <s v="Courtney Wiggins"/>
        <s v="Daryl Strong"/>
        <s v="Jan Brennan"/>
        <s v="Brittany Hutchinson"/>
        <s v="Demetrius Liu"/>
        <s v="Irving Johns"/>
        <s v="Edmond Koch"/>
        <s v="Yolanda Beard"/>
        <s v="Randal Andrade"/>
        <s v="Edith Stephenson"/>
        <s v="Teddy Preston"/>
        <s v="Kim English"/>
        <s v="Sherry Shannon"/>
        <s v="Salvador Mcclain"/>
        <s v="Kirk Conway"/>
        <s v="Johnnie Escobar"/>
        <s v="Sidney Knox"/>
        <s v="Grace Meadows"/>
        <s v="Kristopher Woodard"/>
        <s v="Mack Kemp"/>
        <s v="Gilberto Merritt"/>
        <s v="Dallas Barrera"/>
        <s v="Dewey Valenzuela"/>
        <s v="Clint Roach"/>
        <s v="Nicolas Nolan"/>
        <s v="Laurence Lam"/>
        <s v="Ismael Yoder"/>
        <s v="Orville Mccullough"/>
        <s v="Drew Lester"/>
        <s v="Jody Leach"/>
        <s v="Ervin Berger"/>
        <s v="WALLY MULLIN"/>
        <s v="Wendy Stein"/>
        <s v="Emil Huang"/>
        <s v="Emmanuel Hurst"/>
        <s v="Roberta Mosley"/>
        <s v="Kristen Villanueva"/>
        <s v="Heath Orr"/>
        <s v="Sylvia Mckee"/>
        <s v="Sergio Solomon"/>
        <s v="Sammy Larsen"/>
        <s v="Ellis Orozco"/>
        <s v="Hugo Macias"/>
        <s v="Caleb Blackwell"/>
        <s v="Tomas Mercado"/>
        <s v="Melanie Combs"/>
        <s v="Marlon Garrison"/>
        <s v="Jerald Pitts"/>
        <s v="Timmy Wilkerson"/>
        <s v="Perry Santana"/>
      </sharedItems>
    </cacheField>
    <cacheField name="ShortName" numFmtId="0">
      <sharedItems count="166">
        <s v="Rufus"/>
        <s v="Woodrow"/>
        <s v="Leland"/>
        <s v="Levi"/>
        <s v="Marcos"/>
        <s v="Al"/>
        <s v="Gustavo"/>
        <s v="Jake"/>
        <s v="Lionel"/>
        <s v="Marty"/>
        <s v="Darrel"/>
        <s v="Isaac"/>
        <s v="Cleveland"/>
        <s v="Sheldon"/>
        <s v="Erick"/>
        <s v="Lamont"/>
        <s v="Doyle"/>
        <s v="Dexter"/>
        <s v="Stewart"/>
        <s v="Efrain"/>
        <s v="Billie"/>
        <s v="Elias"/>
        <s v="Elbert"/>
        <s v="Noah"/>
        <s v="Clay"/>
        <s v="Garland"/>
        <s v="Miles"/>
        <s v="Micah"/>
        <s v="Lamar"/>
        <s v="Rolando"/>
        <s v="Louie"/>
        <s v="Merle"/>
        <s v="Logan"/>
        <s v="Bradford"/>
        <s v="Vicente"/>
        <s v="Grady"/>
        <s v="Otto"/>
        <s v="Carroll"/>
        <s v="Terrell"/>
        <s v="Moses"/>
        <s v="Irvin"/>
        <s v="Stephan"/>
        <s v="Rocky"/>
        <s v="Cornelius"/>
        <s v="Dewayne"/>
        <s v="Phil"/>
        <s v="Abel"/>
        <s v="Julian"/>
        <s v="Virgil"/>
        <s v="Winston"/>
        <s v="Aubrey"/>
        <s v="Boyd"/>
        <s v="Freddy"/>
        <s v="Andy"/>
        <s v="Ross"/>
        <s v="Emilio"/>
        <s v="Tommie"/>
        <s v="Elijah"/>
        <s v="Darrin"/>
        <s v="Humberto"/>
        <s v="Roman"/>
        <s v="Rodger"/>
        <s v="Clark"/>
        <s v="Darnell"/>
        <s v="Ethan"/>
        <s v="Byron"/>
        <s v="Loretta"/>
        <s v="Victoria"/>
        <s v="Katie"/>
        <s v="Josephine"/>
        <s v="Thelma"/>
        <s v="Wilfred"/>
        <s v="Taylor"/>
        <s v="Morris"/>
        <s v="Pierre"/>
        <s v="Frankie"/>
        <s v="Bret"/>
        <s v="Harley"/>
        <s v="Jess"/>
        <s v="Junior"/>
        <s v="Emmett"/>
        <s v="Reynaldo"/>
        <s v="Holly"/>
        <s v="Bert"/>
        <s v="Rogelio"/>
        <s v="Terence"/>
        <s v="Percy"/>
        <s v="Santiago"/>
        <s v="Alonzo"/>
        <s v="Josh"/>
        <s v="Ignacio"/>
        <s v="Ramiro"/>
        <s v="Conrad"/>
        <s v="Pat"/>
        <s v="Darin"/>
        <s v="Amos"/>
        <s v="Eldon"/>
        <s v="Dominick"/>
        <s v="Van"/>
        <s v="Saul"/>
        <s v="Clifton"/>
        <s v="Willard"/>
        <s v="Will"/>
        <s v="Morgan"/>
        <s v="Jeanette"/>
        <s v="Shannon"/>
        <s v="Laurie"/>
        <s v="Trent"/>
        <s v="Brendan"/>
        <s v="Toby"/>
        <s v="Domingo"/>
        <s v="Santos"/>
        <s v="Cary"/>
        <s v="Simon"/>
        <s v="Marshall"/>
        <s v="Emanuel"/>
        <s v="Courtney"/>
        <s v="Daryl"/>
        <s v="Jan"/>
        <s v="Brittany"/>
        <s v="Demetrius"/>
        <s v="Irving"/>
        <s v="Edmond"/>
        <s v="Yolanda"/>
        <s v="Randal"/>
        <s v="Edith"/>
        <s v="Teddy"/>
        <s v="Kim"/>
        <s v="Sherry"/>
        <s v="Salvador"/>
        <s v="Kirk"/>
        <s v="Johnnie"/>
        <s v="Sidney"/>
        <s v="Grace"/>
        <s v="Kristopher"/>
        <s v="Mack"/>
        <s v="Gilberto"/>
        <s v="Dallas"/>
        <s v="Dewey"/>
        <s v="Clint"/>
        <s v="Nicolas"/>
        <s v="Laurence"/>
        <s v="Ismael"/>
        <s v="Orville"/>
        <s v="Drew"/>
        <s v="Jody"/>
        <s v="Ervin"/>
        <s v="WALLY"/>
        <s v="Wendy"/>
        <s v="Emil"/>
        <s v="Emmanuel"/>
        <s v="Roberta"/>
        <s v="Kristen"/>
        <s v="Heath"/>
        <s v="Sylvia"/>
        <s v="Sergio"/>
        <s v="Sammy"/>
        <s v="Ellis"/>
        <s v="Hugo"/>
        <s v="Caleb"/>
        <s v="Tomas"/>
        <s v="Melanie"/>
        <s v="Marlon"/>
        <s v="Jerald"/>
        <s v="Timmy"/>
        <s v="Perry"/>
      </sharedItems>
    </cacheField>
    <cacheField name="Group" numFmtId="0">
      <sharedItems count="9">
        <s v="22"/>
        <s v="20"/>
        <s v="42"/>
        <s v="02"/>
        <s v="40"/>
        <s v="00"/>
        <s v="04"/>
        <s v="44"/>
        <s v="24"/>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498">
  <r>
    <x v="0"/>
    <x v="0"/>
    <n v="3.3"/>
    <x v="0"/>
    <x v="0"/>
    <x v="0"/>
    <x v="0"/>
    <x v="0"/>
  </r>
  <r>
    <x v="1"/>
    <x v="0"/>
    <n v="2"/>
    <x v="1"/>
    <x v="1"/>
    <x v="1"/>
    <x v="1"/>
    <x v="1"/>
  </r>
  <r>
    <x v="2"/>
    <x v="0"/>
    <n v="4.5"/>
    <x v="2"/>
    <x v="1"/>
    <x v="2"/>
    <x v="2"/>
    <x v="2"/>
  </r>
  <r>
    <x v="3"/>
    <x v="0"/>
    <n v="0.5"/>
    <x v="2"/>
    <x v="2"/>
    <x v="3"/>
    <x v="3"/>
    <x v="3"/>
  </r>
  <r>
    <x v="4"/>
    <x v="0"/>
    <n v="4.3"/>
    <x v="3"/>
    <x v="2"/>
    <x v="4"/>
    <x v="4"/>
    <x v="4"/>
  </r>
  <r>
    <x v="5"/>
    <x v="0"/>
    <n v="3.3"/>
    <x v="4"/>
    <x v="2"/>
    <x v="5"/>
    <x v="5"/>
    <x v="0"/>
  </r>
  <r>
    <x v="6"/>
    <x v="0"/>
    <n v="2.1"/>
    <x v="5"/>
    <x v="2"/>
    <x v="6"/>
    <x v="6"/>
    <x v="1"/>
  </r>
  <r>
    <x v="7"/>
    <x v="0"/>
    <n v="3.4"/>
    <x v="6"/>
    <x v="2"/>
    <x v="7"/>
    <x v="7"/>
    <x v="1"/>
  </r>
  <r>
    <x v="8"/>
    <x v="0"/>
    <n v="2"/>
    <x v="7"/>
    <x v="2"/>
    <x v="8"/>
    <x v="8"/>
    <x v="1"/>
  </r>
  <r>
    <x v="9"/>
    <x v="0"/>
    <n v="3.2"/>
    <x v="8"/>
    <x v="2"/>
    <x v="9"/>
    <x v="9"/>
    <x v="1"/>
  </r>
  <r>
    <x v="10"/>
    <x v="0"/>
    <n v="1.6"/>
    <x v="2"/>
    <x v="2"/>
    <x v="10"/>
    <x v="10"/>
    <x v="3"/>
  </r>
  <r>
    <x v="11"/>
    <x v="0"/>
    <n v="0.3"/>
    <x v="9"/>
    <x v="3"/>
    <x v="11"/>
    <x v="11"/>
    <x v="3"/>
  </r>
  <r>
    <x v="12"/>
    <x v="0"/>
    <n v="1.8"/>
    <x v="8"/>
    <x v="0"/>
    <x v="12"/>
    <x v="12"/>
    <x v="5"/>
  </r>
  <r>
    <x v="13"/>
    <x v="0"/>
    <n v="4.8"/>
    <x v="1"/>
    <x v="2"/>
    <x v="13"/>
    <x v="13"/>
    <x v="4"/>
  </r>
  <r>
    <x v="14"/>
    <x v="0"/>
    <n v="4.3"/>
    <x v="2"/>
    <x v="2"/>
    <x v="14"/>
    <x v="14"/>
    <x v="2"/>
  </r>
  <r>
    <x v="15"/>
    <x v="0"/>
    <n v="2.1"/>
    <x v="10"/>
    <x v="0"/>
    <x v="15"/>
    <x v="15"/>
    <x v="0"/>
  </r>
  <r>
    <x v="16"/>
    <x v="0"/>
    <n v="3.3"/>
    <x v="11"/>
    <x v="2"/>
    <x v="16"/>
    <x v="16"/>
    <x v="0"/>
  </r>
  <r>
    <x v="17"/>
    <x v="0"/>
    <n v="3.2"/>
    <x v="9"/>
    <x v="2"/>
    <x v="17"/>
    <x v="17"/>
    <x v="0"/>
  </r>
  <r>
    <x v="18"/>
    <x v="0"/>
    <n v="4.3"/>
    <x v="12"/>
    <x v="2"/>
    <x v="18"/>
    <x v="18"/>
    <x v="2"/>
  </r>
  <r>
    <x v="19"/>
    <x v="0"/>
    <n v="1.3"/>
    <x v="13"/>
    <x v="1"/>
    <x v="19"/>
    <x v="19"/>
    <x v="3"/>
  </r>
  <r>
    <x v="20"/>
    <x v="0"/>
    <n v="4.2"/>
    <x v="14"/>
    <x v="1"/>
    <x v="20"/>
    <x v="20"/>
    <x v="4"/>
  </r>
  <r>
    <x v="21"/>
    <x v="0"/>
    <n v="1.8"/>
    <x v="12"/>
    <x v="2"/>
    <x v="21"/>
    <x v="21"/>
    <x v="3"/>
  </r>
  <r>
    <x v="22"/>
    <x v="0"/>
    <n v="0.7"/>
    <x v="15"/>
    <x v="2"/>
    <x v="22"/>
    <x v="22"/>
    <x v="6"/>
  </r>
  <r>
    <x v="23"/>
    <x v="0"/>
    <n v="2.9"/>
    <x v="16"/>
    <x v="2"/>
    <x v="23"/>
    <x v="23"/>
    <x v="1"/>
  </r>
  <r>
    <x v="24"/>
    <x v="0"/>
    <n v="4.7"/>
    <x v="12"/>
    <x v="3"/>
    <x v="24"/>
    <x v="24"/>
    <x v="2"/>
  </r>
  <r>
    <x v="25"/>
    <x v="0"/>
    <n v="0.1"/>
    <x v="17"/>
    <x v="1"/>
    <x v="25"/>
    <x v="25"/>
    <x v="5"/>
  </r>
  <r>
    <x v="26"/>
    <x v="0"/>
    <n v="4.5"/>
    <x v="18"/>
    <x v="1"/>
    <x v="26"/>
    <x v="26"/>
    <x v="4"/>
  </r>
  <r>
    <x v="27"/>
    <x v="0"/>
    <n v="4.8"/>
    <x v="19"/>
    <x v="1"/>
    <x v="27"/>
    <x v="27"/>
    <x v="7"/>
  </r>
  <r>
    <x v="28"/>
    <x v="0"/>
    <n v="4.4000000000000004"/>
    <x v="20"/>
    <x v="3"/>
    <x v="28"/>
    <x v="28"/>
    <x v="2"/>
  </r>
  <r>
    <x v="29"/>
    <x v="0"/>
    <n v="4.4000000000000004"/>
    <x v="5"/>
    <x v="3"/>
    <x v="29"/>
    <x v="29"/>
    <x v="4"/>
  </r>
  <r>
    <x v="30"/>
    <x v="0"/>
    <n v="0.2"/>
    <x v="20"/>
    <x v="0"/>
    <x v="30"/>
    <x v="30"/>
    <x v="3"/>
  </r>
  <r>
    <x v="31"/>
    <x v="0"/>
    <n v="1.5"/>
    <x v="21"/>
    <x v="2"/>
    <x v="31"/>
    <x v="31"/>
    <x v="3"/>
  </r>
  <r>
    <x v="32"/>
    <x v="0"/>
    <n v="3.3"/>
    <x v="12"/>
    <x v="3"/>
    <x v="32"/>
    <x v="32"/>
    <x v="0"/>
  </r>
  <r>
    <x v="33"/>
    <x v="0"/>
    <n v="4.5"/>
    <x v="3"/>
    <x v="3"/>
    <x v="33"/>
    <x v="33"/>
    <x v="4"/>
  </r>
  <r>
    <x v="34"/>
    <x v="0"/>
    <n v="1.7"/>
    <x v="22"/>
    <x v="0"/>
    <x v="34"/>
    <x v="34"/>
    <x v="3"/>
  </r>
  <r>
    <x v="35"/>
    <x v="0"/>
    <n v="3.8"/>
    <x v="9"/>
    <x v="1"/>
    <x v="35"/>
    <x v="35"/>
    <x v="0"/>
  </r>
  <r>
    <x v="36"/>
    <x v="0"/>
    <n v="0.3"/>
    <x v="18"/>
    <x v="1"/>
    <x v="36"/>
    <x v="36"/>
    <x v="5"/>
  </r>
  <r>
    <x v="37"/>
    <x v="0"/>
    <n v="4.5999999999999996"/>
    <x v="23"/>
    <x v="1"/>
    <x v="37"/>
    <x v="37"/>
    <x v="2"/>
  </r>
  <r>
    <x v="38"/>
    <x v="0"/>
    <n v="2.9"/>
    <x v="24"/>
    <x v="3"/>
    <x v="38"/>
    <x v="38"/>
    <x v="8"/>
  </r>
  <r>
    <x v="39"/>
    <x v="0"/>
    <n v="4.5999999999999996"/>
    <x v="25"/>
    <x v="3"/>
    <x v="39"/>
    <x v="39"/>
    <x v="7"/>
  </r>
  <r>
    <x v="40"/>
    <x v="0"/>
    <n v="4.9000000000000004"/>
    <x v="9"/>
    <x v="3"/>
    <x v="40"/>
    <x v="40"/>
    <x v="2"/>
  </r>
  <r>
    <x v="41"/>
    <x v="0"/>
    <n v="2.5"/>
    <x v="20"/>
    <x v="0"/>
    <x v="41"/>
    <x v="41"/>
    <x v="0"/>
  </r>
  <r>
    <x v="42"/>
    <x v="0"/>
    <n v="1.3"/>
    <x v="4"/>
    <x v="4"/>
    <x v="42"/>
    <x v="42"/>
    <x v="3"/>
  </r>
  <r>
    <x v="43"/>
    <x v="0"/>
    <n v="3.1"/>
    <x v="13"/>
    <x v="1"/>
    <x v="43"/>
    <x v="43"/>
    <x v="0"/>
  </r>
  <r>
    <x v="44"/>
    <x v="0"/>
    <n v="2.9"/>
    <x v="8"/>
    <x v="1"/>
    <x v="44"/>
    <x v="44"/>
    <x v="1"/>
  </r>
  <r>
    <x v="45"/>
    <x v="0"/>
    <n v="2.2000000000000002"/>
    <x v="26"/>
    <x v="1"/>
    <x v="45"/>
    <x v="45"/>
    <x v="0"/>
  </r>
  <r>
    <x v="46"/>
    <x v="0"/>
    <n v="4.2"/>
    <x v="12"/>
    <x v="3"/>
    <x v="46"/>
    <x v="46"/>
    <x v="2"/>
  </r>
  <r>
    <x v="47"/>
    <x v="0"/>
    <n v="4.2"/>
    <x v="27"/>
    <x v="1"/>
    <x v="47"/>
    <x v="47"/>
    <x v="7"/>
  </r>
  <r>
    <x v="48"/>
    <x v="0"/>
    <n v="4.8"/>
    <x v="20"/>
    <x v="3"/>
    <x v="48"/>
    <x v="48"/>
    <x v="2"/>
  </r>
  <r>
    <x v="49"/>
    <x v="0"/>
    <n v="4.2"/>
    <x v="17"/>
    <x v="3"/>
    <x v="49"/>
    <x v="49"/>
    <x v="4"/>
  </r>
  <r>
    <x v="50"/>
    <x v="0"/>
    <n v="4.2"/>
    <x v="25"/>
    <x v="3"/>
    <x v="50"/>
    <x v="50"/>
    <x v="7"/>
  </r>
  <r>
    <x v="51"/>
    <x v="0"/>
    <n v="0.4"/>
    <x v="3"/>
    <x v="3"/>
    <x v="51"/>
    <x v="51"/>
    <x v="5"/>
  </r>
  <r>
    <x v="52"/>
    <x v="0"/>
    <n v="3.4"/>
    <x v="28"/>
    <x v="4"/>
    <x v="52"/>
    <x v="52"/>
    <x v="1"/>
  </r>
  <r>
    <x v="53"/>
    <x v="0"/>
    <n v="3.6"/>
    <x v="3"/>
    <x v="3"/>
    <x v="53"/>
    <x v="53"/>
    <x v="1"/>
  </r>
  <r>
    <x v="54"/>
    <x v="0"/>
    <n v="1.6"/>
    <x v="7"/>
    <x v="3"/>
    <x v="54"/>
    <x v="54"/>
    <x v="5"/>
  </r>
  <r>
    <x v="55"/>
    <x v="0"/>
    <n v="2.2000000000000002"/>
    <x v="18"/>
    <x v="3"/>
    <x v="55"/>
    <x v="55"/>
    <x v="1"/>
  </r>
  <r>
    <x v="56"/>
    <x v="0"/>
    <n v="1.2"/>
    <x v="2"/>
    <x v="3"/>
    <x v="56"/>
    <x v="56"/>
    <x v="3"/>
  </r>
  <r>
    <x v="57"/>
    <x v="0"/>
    <n v="1.7"/>
    <x v="14"/>
    <x v="3"/>
    <x v="57"/>
    <x v="57"/>
    <x v="5"/>
  </r>
  <r>
    <x v="58"/>
    <x v="0"/>
    <n v="0.5"/>
    <x v="29"/>
    <x v="3"/>
    <x v="58"/>
    <x v="58"/>
    <x v="3"/>
  </r>
  <r>
    <x v="59"/>
    <x v="0"/>
    <n v="3.7"/>
    <x v="6"/>
    <x v="0"/>
    <x v="59"/>
    <x v="59"/>
    <x v="1"/>
  </r>
  <r>
    <x v="60"/>
    <x v="0"/>
    <n v="2.1"/>
    <x v="18"/>
    <x v="3"/>
    <x v="60"/>
    <x v="60"/>
    <x v="1"/>
  </r>
  <r>
    <x v="61"/>
    <x v="0"/>
    <n v="0.6"/>
    <x v="20"/>
    <x v="1"/>
    <x v="61"/>
    <x v="61"/>
    <x v="3"/>
  </r>
  <r>
    <x v="62"/>
    <x v="0"/>
    <n v="4.8"/>
    <x v="17"/>
    <x v="0"/>
    <x v="62"/>
    <x v="62"/>
    <x v="4"/>
  </r>
  <r>
    <x v="63"/>
    <x v="0"/>
    <n v="3.4"/>
    <x v="15"/>
    <x v="3"/>
    <x v="63"/>
    <x v="63"/>
    <x v="8"/>
  </r>
  <r>
    <x v="64"/>
    <x v="0"/>
    <n v="2.2999999999999998"/>
    <x v="11"/>
    <x v="1"/>
    <x v="64"/>
    <x v="64"/>
    <x v="0"/>
  </r>
  <r>
    <x v="65"/>
    <x v="0"/>
    <n v="3.4"/>
    <x v="30"/>
    <x v="1"/>
    <x v="65"/>
    <x v="65"/>
    <x v="8"/>
  </r>
  <r>
    <x v="66"/>
    <x v="0"/>
    <n v="4.4000000000000004"/>
    <x v="0"/>
    <x v="1"/>
    <x v="66"/>
    <x v="66"/>
    <x v="2"/>
  </r>
  <r>
    <x v="67"/>
    <x v="0"/>
    <n v="1.6"/>
    <x v="28"/>
    <x v="3"/>
    <x v="67"/>
    <x v="67"/>
    <x v="5"/>
  </r>
  <r>
    <x v="68"/>
    <x v="0"/>
    <n v="2"/>
    <x v="26"/>
    <x v="1"/>
    <x v="68"/>
    <x v="68"/>
    <x v="0"/>
  </r>
  <r>
    <x v="69"/>
    <x v="0"/>
    <n v="0.6"/>
    <x v="5"/>
    <x v="1"/>
    <x v="69"/>
    <x v="69"/>
    <x v="5"/>
  </r>
  <r>
    <x v="70"/>
    <x v="0"/>
    <n v="4"/>
    <x v="23"/>
    <x v="1"/>
    <x v="70"/>
    <x v="70"/>
    <x v="2"/>
  </r>
  <r>
    <x v="71"/>
    <x v="0"/>
    <n v="4.3"/>
    <x v="21"/>
    <x v="2"/>
    <x v="71"/>
    <x v="71"/>
    <x v="2"/>
  </r>
  <r>
    <x v="72"/>
    <x v="0"/>
    <n v="0.6"/>
    <x v="31"/>
    <x v="2"/>
    <x v="72"/>
    <x v="72"/>
    <x v="3"/>
  </r>
  <r>
    <x v="73"/>
    <x v="0"/>
    <n v="1.8"/>
    <x v="32"/>
    <x v="3"/>
    <x v="73"/>
    <x v="73"/>
    <x v="3"/>
  </r>
  <r>
    <x v="74"/>
    <x v="0"/>
    <n v="4.5999999999999996"/>
    <x v="1"/>
    <x v="4"/>
    <x v="74"/>
    <x v="74"/>
    <x v="4"/>
  </r>
  <r>
    <x v="75"/>
    <x v="0"/>
    <n v="3.3"/>
    <x v="33"/>
    <x v="2"/>
    <x v="75"/>
    <x v="75"/>
    <x v="1"/>
  </r>
  <r>
    <x v="76"/>
    <x v="0"/>
    <n v="4.4000000000000004"/>
    <x v="0"/>
    <x v="1"/>
    <x v="76"/>
    <x v="76"/>
    <x v="2"/>
  </r>
  <r>
    <x v="77"/>
    <x v="0"/>
    <n v="2.2999999999999998"/>
    <x v="23"/>
    <x v="1"/>
    <x v="77"/>
    <x v="77"/>
    <x v="0"/>
  </r>
  <r>
    <x v="78"/>
    <x v="0"/>
    <n v="2.1"/>
    <x v="10"/>
    <x v="0"/>
    <x v="78"/>
    <x v="78"/>
    <x v="0"/>
  </r>
  <r>
    <x v="79"/>
    <x v="0"/>
    <n v="5"/>
    <x v="12"/>
    <x v="4"/>
    <x v="79"/>
    <x v="79"/>
    <x v="2"/>
  </r>
  <r>
    <x v="80"/>
    <x v="0"/>
    <n v="3"/>
    <x v="13"/>
    <x v="1"/>
    <x v="80"/>
    <x v="80"/>
    <x v="0"/>
  </r>
  <r>
    <x v="81"/>
    <x v="0"/>
    <n v="0.5"/>
    <x v="34"/>
    <x v="1"/>
    <x v="81"/>
    <x v="81"/>
    <x v="3"/>
  </r>
  <r>
    <x v="82"/>
    <x v="0"/>
    <n v="2.9"/>
    <x v="6"/>
    <x v="2"/>
    <x v="82"/>
    <x v="82"/>
    <x v="1"/>
  </r>
  <r>
    <x v="83"/>
    <x v="0"/>
    <n v="0.5"/>
    <x v="3"/>
    <x v="2"/>
    <x v="83"/>
    <x v="83"/>
    <x v="5"/>
  </r>
  <r>
    <x v="84"/>
    <x v="0"/>
    <n v="2.9"/>
    <x v="18"/>
    <x v="2"/>
    <x v="84"/>
    <x v="84"/>
    <x v="1"/>
  </r>
  <r>
    <x v="85"/>
    <x v="0"/>
    <n v="4.3"/>
    <x v="22"/>
    <x v="2"/>
    <x v="85"/>
    <x v="85"/>
    <x v="2"/>
  </r>
  <r>
    <x v="86"/>
    <x v="0"/>
    <n v="2"/>
    <x v="22"/>
    <x v="3"/>
    <x v="86"/>
    <x v="86"/>
    <x v="0"/>
  </r>
  <r>
    <x v="87"/>
    <x v="0"/>
    <n v="2.6"/>
    <x v="28"/>
    <x v="2"/>
    <x v="87"/>
    <x v="87"/>
    <x v="1"/>
  </r>
  <r>
    <x v="88"/>
    <x v="0"/>
    <n v="0.9"/>
    <x v="6"/>
    <x v="2"/>
    <x v="88"/>
    <x v="88"/>
    <x v="5"/>
  </r>
  <r>
    <x v="89"/>
    <x v="0"/>
    <n v="5"/>
    <x v="4"/>
    <x v="2"/>
    <x v="89"/>
    <x v="89"/>
    <x v="2"/>
  </r>
  <r>
    <x v="90"/>
    <x v="0"/>
    <n v="0.7"/>
    <x v="6"/>
    <x v="2"/>
    <x v="90"/>
    <x v="90"/>
    <x v="5"/>
  </r>
  <r>
    <x v="91"/>
    <x v="0"/>
    <n v="1.5"/>
    <x v="10"/>
    <x v="2"/>
    <x v="91"/>
    <x v="91"/>
    <x v="3"/>
  </r>
  <r>
    <x v="92"/>
    <x v="0"/>
    <n v="2.5"/>
    <x v="21"/>
    <x v="2"/>
    <x v="92"/>
    <x v="92"/>
    <x v="0"/>
  </r>
  <r>
    <x v="93"/>
    <x v="0"/>
    <n v="1"/>
    <x v="34"/>
    <x v="2"/>
    <x v="93"/>
    <x v="93"/>
    <x v="3"/>
  </r>
  <r>
    <x v="94"/>
    <x v="0"/>
    <n v="1.5"/>
    <x v="35"/>
    <x v="3"/>
    <x v="94"/>
    <x v="94"/>
    <x v="3"/>
  </r>
  <r>
    <x v="95"/>
    <x v="0"/>
    <n v="3.6"/>
    <x v="2"/>
    <x v="3"/>
    <x v="95"/>
    <x v="95"/>
    <x v="0"/>
  </r>
  <r>
    <x v="96"/>
    <x v="0"/>
    <n v="2.1"/>
    <x v="36"/>
    <x v="1"/>
    <x v="96"/>
    <x v="96"/>
    <x v="0"/>
  </r>
  <r>
    <x v="97"/>
    <x v="0"/>
    <n v="4.0999999999999996"/>
    <x v="7"/>
    <x v="3"/>
    <x v="97"/>
    <x v="97"/>
    <x v="4"/>
  </r>
  <r>
    <x v="98"/>
    <x v="0"/>
    <n v="0.8"/>
    <x v="37"/>
    <x v="3"/>
    <x v="98"/>
    <x v="98"/>
    <x v="5"/>
  </r>
  <r>
    <x v="99"/>
    <x v="0"/>
    <n v="2.7"/>
    <x v="20"/>
    <x v="3"/>
    <x v="99"/>
    <x v="99"/>
    <x v="0"/>
  </r>
  <r>
    <x v="100"/>
    <x v="0"/>
    <n v="3.1"/>
    <x v="38"/>
    <x v="3"/>
    <x v="100"/>
    <x v="100"/>
    <x v="0"/>
  </r>
  <r>
    <x v="101"/>
    <x v="0"/>
    <n v="4.5"/>
    <x v="35"/>
    <x v="3"/>
    <x v="101"/>
    <x v="101"/>
    <x v="2"/>
  </r>
  <r>
    <x v="102"/>
    <x v="0"/>
    <n v="2.6"/>
    <x v="16"/>
    <x v="1"/>
    <x v="102"/>
    <x v="102"/>
    <x v="1"/>
  </r>
  <r>
    <x v="103"/>
    <x v="0"/>
    <n v="4.8"/>
    <x v="28"/>
    <x v="1"/>
    <x v="103"/>
    <x v="103"/>
    <x v="4"/>
  </r>
  <r>
    <x v="104"/>
    <x v="0"/>
    <n v="1.3"/>
    <x v="19"/>
    <x v="1"/>
    <x v="104"/>
    <x v="104"/>
    <x v="6"/>
  </r>
  <r>
    <x v="105"/>
    <x v="0"/>
    <n v="4.9000000000000004"/>
    <x v="21"/>
    <x v="1"/>
    <x v="105"/>
    <x v="105"/>
    <x v="2"/>
  </r>
  <r>
    <x v="106"/>
    <x v="0"/>
    <n v="0.3"/>
    <x v="1"/>
    <x v="1"/>
    <x v="106"/>
    <x v="106"/>
    <x v="5"/>
  </r>
  <r>
    <x v="107"/>
    <x v="0"/>
    <n v="2.1"/>
    <x v="6"/>
    <x v="0"/>
    <x v="107"/>
    <x v="107"/>
    <x v="1"/>
  </r>
  <r>
    <x v="108"/>
    <x v="0"/>
    <n v="3.6"/>
    <x v="7"/>
    <x v="3"/>
    <x v="108"/>
    <x v="108"/>
    <x v="1"/>
  </r>
  <r>
    <x v="109"/>
    <x v="0"/>
    <n v="2.2000000000000002"/>
    <x v="21"/>
    <x v="2"/>
    <x v="109"/>
    <x v="109"/>
    <x v="0"/>
  </r>
  <r>
    <x v="110"/>
    <x v="0"/>
    <n v="0.9"/>
    <x v="11"/>
    <x v="3"/>
    <x v="110"/>
    <x v="110"/>
    <x v="3"/>
  </r>
  <r>
    <x v="111"/>
    <x v="0"/>
    <n v="2.7"/>
    <x v="28"/>
    <x v="3"/>
    <x v="111"/>
    <x v="111"/>
    <x v="1"/>
  </r>
  <r>
    <x v="112"/>
    <x v="0"/>
    <n v="0.2"/>
    <x v="35"/>
    <x v="2"/>
    <x v="112"/>
    <x v="112"/>
    <x v="3"/>
  </r>
  <r>
    <x v="113"/>
    <x v="0"/>
    <n v="1.4"/>
    <x v="21"/>
    <x v="2"/>
    <x v="113"/>
    <x v="113"/>
    <x v="3"/>
  </r>
  <r>
    <x v="114"/>
    <x v="0"/>
    <n v="0.7"/>
    <x v="6"/>
    <x v="3"/>
    <x v="114"/>
    <x v="114"/>
    <x v="5"/>
  </r>
  <r>
    <x v="115"/>
    <x v="0"/>
    <n v="2"/>
    <x v="4"/>
    <x v="1"/>
    <x v="115"/>
    <x v="115"/>
    <x v="0"/>
  </r>
  <r>
    <x v="116"/>
    <x v="0"/>
    <n v="1.5"/>
    <x v="26"/>
    <x v="3"/>
    <x v="116"/>
    <x v="116"/>
    <x v="3"/>
  </r>
  <r>
    <x v="117"/>
    <x v="0"/>
    <n v="2.9"/>
    <x v="22"/>
    <x v="3"/>
    <x v="117"/>
    <x v="117"/>
    <x v="0"/>
  </r>
  <r>
    <x v="118"/>
    <x v="0"/>
    <n v="3.4"/>
    <x v="39"/>
    <x v="3"/>
    <x v="118"/>
    <x v="118"/>
    <x v="1"/>
  </r>
  <r>
    <x v="119"/>
    <x v="0"/>
    <n v="4.7"/>
    <x v="0"/>
    <x v="1"/>
    <x v="119"/>
    <x v="119"/>
    <x v="2"/>
  </r>
  <r>
    <x v="120"/>
    <x v="0"/>
    <n v="4.9000000000000004"/>
    <x v="3"/>
    <x v="1"/>
    <x v="120"/>
    <x v="120"/>
    <x v="4"/>
  </r>
  <r>
    <x v="121"/>
    <x v="0"/>
    <n v="2.1"/>
    <x v="4"/>
    <x v="0"/>
    <x v="121"/>
    <x v="121"/>
    <x v="0"/>
  </r>
  <r>
    <x v="122"/>
    <x v="0"/>
    <n v="0.7"/>
    <x v="20"/>
    <x v="1"/>
    <x v="122"/>
    <x v="122"/>
    <x v="3"/>
  </r>
  <r>
    <x v="123"/>
    <x v="0"/>
    <n v="1.8"/>
    <x v="40"/>
    <x v="1"/>
    <x v="123"/>
    <x v="123"/>
    <x v="6"/>
  </r>
  <r>
    <x v="124"/>
    <x v="0"/>
    <n v="0.9"/>
    <x v="18"/>
    <x v="3"/>
    <x v="124"/>
    <x v="124"/>
    <x v="5"/>
  </r>
  <r>
    <x v="125"/>
    <x v="0"/>
    <n v="1"/>
    <x v="34"/>
    <x v="1"/>
    <x v="125"/>
    <x v="125"/>
    <x v="3"/>
  </r>
  <r>
    <x v="126"/>
    <x v="0"/>
    <n v="4.4000000000000004"/>
    <x v="12"/>
    <x v="1"/>
    <x v="126"/>
    <x v="126"/>
    <x v="2"/>
  </r>
  <r>
    <x v="127"/>
    <x v="0"/>
    <n v="4.7"/>
    <x v="2"/>
    <x v="1"/>
    <x v="127"/>
    <x v="127"/>
    <x v="2"/>
  </r>
  <r>
    <x v="128"/>
    <x v="0"/>
    <n v="3.6"/>
    <x v="35"/>
    <x v="1"/>
    <x v="128"/>
    <x v="128"/>
    <x v="0"/>
  </r>
  <r>
    <x v="129"/>
    <x v="0"/>
    <n v="3.6"/>
    <x v="13"/>
    <x v="1"/>
    <x v="129"/>
    <x v="129"/>
    <x v="0"/>
  </r>
  <r>
    <x v="130"/>
    <x v="0"/>
    <n v="1.8"/>
    <x v="3"/>
    <x v="1"/>
    <x v="130"/>
    <x v="130"/>
    <x v="5"/>
  </r>
  <r>
    <x v="131"/>
    <x v="0"/>
    <n v="1.8"/>
    <x v="8"/>
    <x v="1"/>
    <x v="131"/>
    <x v="131"/>
    <x v="5"/>
  </r>
  <r>
    <x v="132"/>
    <x v="0"/>
    <n v="2.2999999999999998"/>
    <x v="37"/>
    <x v="1"/>
    <x v="132"/>
    <x v="132"/>
    <x v="1"/>
  </r>
  <r>
    <x v="133"/>
    <x v="0"/>
    <n v="4.7"/>
    <x v="1"/>
    <x v="1"/>
    <x v="133"/>
    <x v="133"/>
    <x v="4"/>
  </r>
  <r>
    <x v="134"/>
    <x v="0"/>
    <n v="4.9000000000000004"/>
    <x v="33"/>
    <x v="1"/>
    <x v="134"/>
    <x v="134"/>
    <x v="4"/>
  </r>
  <r>
    <x v="135"/>
    <x v="0"/>
    <n v="3"/>
    <x v="31"/>
    <x v="2"/>
    <x v="135"/>
    <x v="135"/>
    <x v="0"/>
  </r>
  <r>
    <x v="136"/>
    <x v="0"/>
    <n v="1.6"/>
    <x v="20"/>
    <x v="2"/>
    <x v="136"/>
    <x v="136"/>
    <x v="3"/>
  </r>
  <r>
    <x v="137"/>
    <x v="0"/>
    <n v="0.1"/>
    <x v="0"/>
    <x v="2"/>
    <x v="137"/>
    <x v="137"/>
    <x v="3"/>
  </r>
  <r>
    <x v="138"/>
    <x v="0"/>
    <n v="2.7"/>
    <x v="20"/>
    <x v="2"/>
    <x v="138"/>
    <x v="138"/>
    <x v="0"/>
  </r>
  <r>
    <x v="139"/>
    <x v="0"/>
    <n v="2.2999999999999998"/>
    <x v="39"/>
    <x v="2"/>
    <x v="139"/>
    <x v="139"/>
    <x v="1"/>
  </r>
  <r>
    <x v="140"/>
    <x v="0"/>
    <n v="4.3"/>
    <x v="0"/>
    <x v="2"/>
    <x v="140"/>
    <x v="140"/>
    <x v="2"/>
  </r>
  <r>
    <x v="141"/>
    <x v="0"/>
    <n v="2.7"/>
    <x v="37"/>
    <x v="2"/>
    <x v="141"/>
    <x v="141"/>
    <x v="1"/>
  </r>
  <r>
    <x v="142"/>
    <x v="0"/>
    <n v="4.9000000000000004"/>
    <x v="6"/>
    <x v="2"/>
    <x v="142"/>
    <x v="142"/>
    <x v="4"/>
  </r>
  <r>
    <x v="143"/>
    <x v="0"/>
    <n v="0.9"/>
    <x v="15"/>
    <x v="2"/>
    <x v="143"/>
    <x v="143"/>
    <x v="6"/>
  </r>
  <r>
    <x v="144"/>
    <x v="0"/>
    <n v="1.7"/>
    <x v="17"/>
    <x v="2"/>
    <x v="144"/>
    <x v="144"/>
    <x v="5"/>
  </r>
  <r>
    <x v="145"/>
    <x v="0"/>
    <n v="4.2"/>
    <x v="34"/>
    <x v="2"/>
    <x v="145"/>
    <x v="145"/>
    <x v="2"/>
  </r>
  <r>
    <x v="146"/>
    <x v="0"/>
    <n v="1"/>
    <x v="34"/>
    <x v="2"/>
    <x v="146"/>
    <x v="146"/>
    <x v="3"/>
  </r>
  <r>
    <x v="147"/>
    <x v="0"/>
    <n v="2.5"/>
    <x v="41"/>
    <x v="1"/>
    <x v="147"/>
    <x v="147"/>
    <x v="1"/>
  </r>
  <r>
    <x v="148"/>
    <x v="0"/>
    <n v="1.9"/>
    <x v="10"/>
    <x v="1"/>
    <x v="148"/>
    <x v="148"/>
    <x v="3"/>
  </r>
  <r>
    <x v="149"/>
    <x v="0"/>
    <n v="3.3"/>
    <x v="20"/>
    <x v="1"/>
    <x v="149"/>
    <x v="149"/>
    <x v="0"/>
  </r>
  <r>
    <x v="150"/>
    <x v="0"/>
    <n v="0.1"/>
    <x v="42"/>
    <x v="0"/>
    <x v="150"/>
    <x v="150"/>
    <x v="6"/>
  </r>
  <r>
    <x v="151"/>
    <x v="0"/>
    <n v="4.7"/>
    <x v="21"/>
    <x v="0"/>
    <x v="151"/>
    <x v="151"/>
    <x v="2"/>
  </r>
  <r>
    <x v="152"/>
    <x v="0"/>
    <n v="4.7"/>
    <x v="2"/>
    <x v="1"/>
    <x v="152"/>
    <x v="152"/>
    <x v="2"/>
  </r>
  <r>
    <x v="153"/>
    <x v="0"/>
    <n v="2.4"/>
    <x v="34"/>
    <x v="1"/>
    <x v="153"/>
    <x v="153"/>
    <x v="0"/>
  </r>
  <r>
    <x v="154"/>
    <x v="0"/>
    <n v="4.0999999999999996"/>
    <x v="32"/>
    <x v="2"/>
    <x v="154"/>
    <x v="154"/>
    <x v="2"/>
  </r>
  <r>
    <x v="155"/>
    <x v="0"/>
    <n v="3.9"/>
    <x v="7"/>
    <x v="1"/>
    <x v="155"/>
    <x v="155"/>
    <x v="1"/>
  </r>
  <r>
    <x v="156"/>
    <x v="0"/>
    <n v="2.2999999999999998"/>
    <x v="11"/>
    <x v="1"/>
    <x v="156"/>
    <x v="156"/>
    <x v="0"/>
  </r>
  <r>
    <x v="157"/>
    <x v="0"/>
    <n v="4.5"/>
    <x v="12"/>
    <x v="2"/>
    <x v="157"/>
    <x v="157"/>
    <x v="2"/>
  </r>
  <r>
    <x v="158"/>
    <x v="0"/>
    <n v="4.4000000000000004"/>
    <x v="12"/>
    <x v="2"/>
    <x v="158"/>
    <x v="158"/>
    <x v="2"/>
  </r>
  <r>
    <x v="159"/>
    <x v="0"/>
    <n v="2.5"/>
    <x v="28"/>
    <x v="2"/>
    <x v="159"/>
    <x v="159"/>
    <x v="1"/>
  </r>
  <r>
    <x v="160"/>
    <x v="0"/>
    <n v="3"/>
    <x v="29"/>
    <x v="2"/>
    <x v="160"/>
    <x v="160"/>
    <x v="0"/>
  </r>
  <r>
    <x v="161"/>
    <x v="0"/>
    <n v="4.9000000000000004"/>
    <x v="3"/>
    <x v="1"/>
    <x v="161"/>
    <x v="161"/>
    <x v="4"/>
  </r>
  <r>
    <x v="162"/>
    <x v="0"/>
    <n v="3.8"/>
    <x v="35"/>
    <x v="1"/>
    <x v="162"/>
    <x v="162"/>
    <x v="0"/>
  </r>
  <r>
    <x v="163"/>
    <x v="0"/>
    <n v="4.5999999999999996"/>
    <x v="9"/>
    <x v="1"/>
    <x v="163"/>
    <x v="163"/>
    <x v="2"/>
  </r>
  <r>
    <x v="164"/>
    <x v="0"/>
    <n v="1.2"/>
    <x v="35"/>
    <x v="2"/>
    <x v="164"/>
    <x v="164"/>
    <x v="3"/>
  </r>
  <r>
    <x v="165"/>
    <x v="0"/>
    <n v="2.2999999999999998"/>
    <x v="43"/>
    <x v="1"/>
    <x v="165"/>
    <x v="165"/>
    <x v="8"/>
  </r>
  <r>
    <x v="0"/>
    <x v="1"/>
    <n v="1.9"/>
    <x v="29"/>
    <x v="0"/>
    <x v="0"/>
    <x v="0"/>
    <x v="3"/>
  </r>
  <r>
    <x v="1"/>
    <x v="1"/>
    <n v="5"/>
    <x v="34"/>
    <x v="1"/>
    <x v="1"/>
    <x v="1"/>
    <x v="2"/>
  </r>
  <r>
    <x v="2"/>
    <x v="1"/>
    <n v="1.8"/>
    <x v="35"/>
    <x v="1"/>
    <x v="2"/>
    <x v="2"/>
    <x v="3"/>
  </r>
  <r>
    <x v="3"/>
    <x v="1"/>
    <n v="4.9000000000000004"/>
    <x v="35"/>
    <x v="2"/>
    <x v="3"/>
    <x v="3"/>
    <x v="2"/>
  </r>
  <r>
    <x v="4"/>
    <x v="1"/>
    <n v="4.5999999999999996"/>
    <x v="18"/>
    <x v="2"/>
    <x v="4"/>
    <x v="4"/>
    <x v="4"/>
  </r>
  <r>
    <x v="5"/>
    <x v="1"/>
    <n v="1.6"/>
    <x v="29"/>
    <x v="2"/>
    <x v="5"/>
    <x v="5"/>
    <x v="3"/>
  </r>
  <r>
    <x v="6"/>
    <x v="1"/>
    <n v="2.5"/>
    <x v="2"/>
    <x v="2"/>
    <x v="6"/>
    <x v="6"/>
    <x v="0"/>
  </r>
  <r>
    <x v="7"/>
    <x v="1"/>
    <n v="2.4"/>
    <x v="34"/>
    <x v="2"/>
    <x v="7"/>
    <x v="7"/>
    <x v="0"/>
  </r>
  <r>
    <x v="8"/>
    <x v="1"/>
    <n v="1"/>
    <x v="21"/>
    <x v="2"/>
    <x v="8"/>
    <x v="8"/>
    <x v="3"/>
  </r>
  <r>
    <x v="9"/>
    <x v="1"/>
    <n v="4.7"/>
    <x v="4"/>
    <x v="2"/>
    <x v="9"/>
    <x v="9"/>
    <x v="2"/>
  </r>
  <r>
    <x v="10"/>
    <x v="1"/>
    <n v="3.4"/>
    <x v="20"/>
    <x v="2"/>
    <x v="10"/>
    <x v="10"/>
    <x v="0"/>
  </r>
  <r>
    <x v="11"/>
    <x v="1"/>
    <n v="2.4"/>
    <x v="21"/>
    <x v="3"/>
    <x v="11"/>
    <x v="11"/>
    <x v="0"/>
  </r>
  <r>
    <x v="12"/>
    <x v="1"/>
    <n v="3.9"/>
    <x v="28"/>
    <x v="0"/>
    <x v="12"/>
    <x v="12"/>
    <x v="1"/>
  </r>
  <r>
    <x v="13"/>
    <x v="1"/>
    <n v="1.5"/>
    <x v="12"/>
    <x v="2"/>
    <x v="13"/>
    <x v="13"/>
    <x v="3"/>
  </r>
  <r>
    <x v="14"/>
    <x v="1"/>
    <n v="3.4"/>
    <x v="34"/>
    <x v="2"/>
    <x v="14"/>
    <x v="14"/>
    <x v="0"/>
  </r>
  <r>
    <x v="15"/>
    <x v="1"/>
    <n v="1.6"/>
    <x v="35"/>
    <x v="0"/>
    <x v="15"/>
    <x v="15"/>
    <x v="3"/>
  </r>
  <r>
    <x v="16"/>
    <x v="1"/>
    <n v="3.6"/>
    <x v="4"/>
    <x v="2"/>
    <x v="16"/>
    <x v="16"/>
    <x v="0"/>
  </r>
  <r>
    <x v="17"/>
    <x v="1"/>
    <n v="2"/>
    <x v="32"/>
    <x v="2"/>
    <x v="17"/>
    <x v="17"/>
    <x v="0"/>
  </r>
  <r>
    <x v="18"/>
    <x v="1"/>
    <n v="1.7"/>
    <x v="25"/>
    <x v="2"/>
    <x v="18"/>
    <x v="18"/>
    <x v="6"/>
  </r>
  <r>
    <x v="19"/>
    <x v="1"/>
    <n v="4.8"/>
    <x v="35"/>
    <x v="1"/>
    <x v="19"/>
    <x v="19"/>
    <x v="2"/>
  </r>
  <r>
    <x v="20"/>
    <x v="1"/>
    <n v="4.0999999999999996"/>
    <x v="34"/>
    <x v="1"/>
    <x v="20"/>
    <x v="20"/>
    <x v="2"/>
  </r>
  <r>
    <x v="21"/>
    <x v="1"/>
    <n v="3"/>
    <x v="25"/>
    <x v="2"/>
    <x v="21"/>
    <x v="21"/>
    <x v="8"/>
  </r>
  <r>
    <x v="22"/>
    <x v="1"/>
    <n v="4.7"/>
    <x v="29"/>
    <x v="2"/>
    <x v="22"/>
    <x v="22"/>
    <x v="2"/>
  </r>
  <r>
    <x v="23"/>
    <x v="1"/>
    <n v="1"/>
    <x v="38"/>
    <x v="2"/>
    <x v="23"/>
    <x v="23"/>
    <x v="3"/>
  </r>
  <r>
    <x v="24"/>
    <x v="1"/>
    <n v="1.2"/>
    <x v="35"/>
    <x v="3"/>
    <x v="24"/>
    <x v="24"/>
    <x v="3"/>
  </r>
  <r>
    <x v="25"/>
    <x v="1"/>
    <n v="0.2"/>
    <x v="12"/>
    <x v="1"/>
    <x v="25"/>
    <x v="25"/>
    <x v="3"/>
  </r>
  <r>
    <x v="26"/>
    <x v="1"/>
    <n v="4.9000000000000004"/>
    <x v="2"/>
    <x v="1"/>
    <x v="26"/>
    <x v="26"/>
    <x v="2"/>
  </r>
  <r>
    <x v="27"/>
    <x v="1"/>
    <n v="4.5"/>
    <x v="2"/>
    <x v="1"/>
    <x v="27"/>
    <x v="27"/>
    <x v="2"/>
  </r>
  <r>
    <x v="28"/>
    <x v="1"/>
    <n v="1.8"/>
    <x v="2"/>
    <x v="3"/>
    <x v="28"/>
    <x v="28"/>
    <x v="3"/>
  </r>
  <r>
    <x v="29"/>
    <x v="1"/>
    <n v="3"/>
    <x v="26"/>
    <x v="3"/>
    <x v="29"/>
    <x v="29"/>
    <x v="0"/>
  </r>
  <r>
    <x v="30"/>
    <x v="1"/>
    <n v="3.8"/>
    <x v="20"/>
    <x v="0"/>
    <x v="30"/>
    <x v="30"/>
    <x v="0"/>
  </r>
  <r>
    <x v="31"/>
    <x v="1"/>
    <n v="0.2"/>
    <x v="22"/>
    <x v="2"/>
    <x v="31"/>
    <x v="31"/>
    <x v="3"/>
  </r>
  <r>
    <x v="32"/>
    <x v="1"/>
    <n v="0.9"/>
    <x v="21"/>
    <x v="3"/>
    <x v="32"/>
    <x v="32"/>
    <x v="3"/>
  </r>
  <r>
    <x v="33"/>
    <x v="1"/>
    <n v="0.2"/>
    <x v="34"/>
    <x v="3"/>
    <x v="33"/>
    <x v="33"/>
    <x v="3"/>
  </r>
  <r>
    <x v="34"/>
    <x v="1"/>
    <n v="4.0999999999999996"/>
    <x v="38"/>
    <x v="0"/>
    <x v="34"/>
    <x v="34"/>
    <x v="2"/>
  </r>
  <r>
    <x v="35"/>
    <x v="1"/>
    <n v="2.2000000000000002"/>
    <x v="23"/>
    <x v="1"/>
    <x v="35"/>
    <x v="35"/>
    <x v="0"/>
  </r>
  <r>
    <x v="36"/>
    <x v="1"/>
    <n v="1.8"/>
    <x v="36"/>
    <x v="1"/>
    <x v="36"/>
    <x v="36"/>
    <x v="3"/>
  </r>
  <r>
    <x v="37"/>
    <x v="1"/>
    <n v="1.5"/>
    <x v="32"/>
    <x v="1"/>
    <x v="37"/>
    <x v="37"/>
    <x v="3"/>
  </r>
  <r>
    <x v="38"/>
    <x v="1"/>
    <n v="3.3"/>
    <x v="31"/>
    <x v="3"/>
    <x v="38"/>
    <x v="38"/>
    <x v="0"/>
  </r>
  <r>
    <x v="39"/>
    <x v="1"/>
    <n v="0.8"/>
    <x v="35"/>
    <x v="3"/>
    <x v="39"/>
    <x v="39"/>
    <x v="3"/>
  </r>
  <r>
    <x v="40"/>
    <x v="1"/>
    <n v="4.7"/>
    <x v="0"/>
    <x v="3"/>
    <x v="40"/>
    <x v="40"/>
    <x v="2"/>
  </r>
  <r>
    <x v="41"/>
    <x v="1"/>
    <n v="1.3"/>
    <x v="10"/>
    <x v="0"/>
    <x v="41"/>
    <x v="41"/>
    <x v="3"/>
  </r>
  <r>
    <x v="42"/>
    <x v="1"/>
    <n v="1.1000000000000001"/>
    <x v="31"/>
    <x v="4"/>
    <x v="42"/>
    <x v="42"/>
    <x v="3"/>
  </r>
  <r>
    <x v="43"/>
    <x v="1"/>
    <n v="3.4"/>
    <x v="32"/>
    <x v="1"/>
    <x v="43"/>
    <x v="43"/>
    <x v="0"/>
  </r>
  <r>
    <x v="44"/>
    <x v="1"/>
    <n v="5"/>
    <x v="34"/>
    <x v="1"/>
    <x v="44"/>
    <x v="44"/>
    <x v="2"/>
  </r>
  <r>
    <x v="45"/>
    <x v="1"/>
    <n v="2.6"/>
    <x v="29"/>
    <x v="1"/>
    <x v="45"/>
    <x v="45"/>
    <x v="0"/>
  </r>
  <r>
    <x v="46"/>
    <x v="1"/>
    <n v="2.5"/>
    <x v="25"/>
    <x v="3"/>
    <x v="46"/>
    <x v="46"/>
    <x v="8"/>
  </r>
  <r>
    <x v="47"/>
    <x v="1"/>
    <n v="0.5"/>
    <x v="23"/>
    <x v="1"/>
    <x v="47"/>
    <x v="47"/>
    <x v="3"/>
  </r>
  <r>
    <x v="48"/>
    <x v="1"/>
    <n v="0.1"/>
    <x v="12"/>
    <x v="3"/>
    <x v="48"/>
    <x v="48"/>
    <x v="3"/>
  </r>
  <r>
    <x v="49"/>
    <x v="1"/>
    <n v="3.1"/>
    <x v="23"/>
    <x v="3"/>
    <x v="49"/>
    <x v="49"/>
    <x v="0"/>
  </r>
  <r>
    <x v="50"/>
    <x v="1"/>
    <n v="2.2000000000000002"/>
    <x v="26"/>
    <x v="3"/>
    <x v="50"/>
    <x v="50"/>
    <x v="0"/>
  </r>
  <r>
    <x v="51"/>
    <x v="1"/>
    <n v="1.4"/>
    <x v="13"/>
    <x v="3"/>
    <x v="51"/>
    <x v="51"/>
    <x v="3"/>
  </r>
  <r>
    <x v="52"/>
    <x v="1"/>
    <n v="0.4"/>
    <x v="0"/>
    <x v="4"/>
    <x v="52"/>
    <x v="52"/>
    <x v="3"/>
  </r>
  <r>
    <x v="53"/>
    <x v="1"/>
    <n v="4.2"/>
    <x v="9"/>
    <x v="3"/>
    <x v="53"/>
    <x v="53"/>
    <x v="2"/>
  </r>
  <r>
    <x v="54"/>
    <x v="1"/>
    <n v="0.6"/>
    <x v="38"/>
    <x v="3"/>
    <x v="54"/>
    <x v="54"/>
    <x v="3"/>
  </r>
  <r>
    <x v="55"/>
    <x v="1"/>
    <n v="3"/>
    <x v="14"/>
    <x v="3"/>
    <x v="55"/>
    <x v="55"/>
    <x v="1"/>
  </r>
  <r>
    <x v="56"/>
    <x v="1"/>
    <n v="4.4000000000000004"/>
    <x v="4"/>
    <x v="3"/>
    <x v="56"/>
    <x v="56"/>
    <x v="2"/>
  </r>
  <r>
    <x v="57"/>
    <x v="1"/>
    <n v="1.3"/>
    <x v="4"/>
    <x v="3"/>
    <x v="57"/>
    <x v="57"/>
    <x v="3"/>
  </r>
  <r>
    <x v="58"/>
    <x v="1"/>
    <n v="2.2999999999999998"/>
    <x v="21"/>
    <x v="3"/>
    <x v="58"/>
    <x v="58"/>
    <x v="0"/>
  </r>
  <r>
    <x v="59"/>
    <x v="1"/>
    <n v="1.5"/>
    <x v="26"/>
    <x v="0"/>
    <x v="59"/>
    <x v="59"/>
    <x v="3"/>
  </r>
  <r>
    <x v="60"/>
    <x v="1"/>
    <n v="3.1"/>
    <x v="23"/>
    <x v="3"/>
    <x v="60"/>
    <x v="60"/>
    <x v="0"/>
  </r>
  <r>
    <x v="61"/>
    <x v="1"/>
    <n v="4.7"/>
    <x v="26"/>
    <x v="1"/>
    <x v="61"/>
    <x v="61"/>
    <x v="2"/>
  </r>
  <r>
    <x v="62"/>
    <x v="1"/>
    <n v="2.1"/>
    <x v="2"/>
    <x v="0"/>
    <x v="62"/>
    <x v="62"/>
    <x v="0"/>
  </r>
  <r>
    <x v="63"/>
    <x v="1"/>
    <n v="0.5"/>
    <x v="38"/>
    <x v="3"/>
    <x v="63"/>
    <x v="63"/>
    <x v="3"/>
  </r>
  <r>
    <x v="64"/>
    <x v="1"/>
    <n v="3.8"/>
    <x v="36"/>
    <x v="1"/>
    <x v="64"/>
    <x v="64"/>
    <x v="0"/>
  </r>
  <r>
    <x v="65"/>
    <x v="1"/>
    <n v="0.1"/>
    <x v="38"/>
    <x v="1"/>
    <x v="65"/>
    <x v="65"/>
    <x v="3"/>
  </r>
  <r>
    <x v="66"/>
    <x v="1"/>
    <n v="4.5999999999999996"/>
    <x v="11"/>
    <x v="1"/>
    <x v="66"/>
    <x v="66"/>
    <x v="2"/>
  </r>
  <r>
    <x v="67"/>
    <x v="1"/>
    <n v="1.8"/>
    <x v="14"/>
    <x v="3"/>
    <x v="67"/>
    <x v="67"/>
    <x v="5"/>
  </r>
  <r>
    <x v="68"/>
    <x v="1"/>
    <n v="1.7"/>
    <x v="10"/>
    <x v="1"/>
    <x v="68"/>
    <x v="68"/>
    <x v="3"/>
  </r>
  <r>
    <x v="69"/>
    <x v="1"/>
    <n v="0.3"/>
    <x v="22"/>
    <x v="1"/>
    <x v="69"/>
    <x v="69"/>
    <x v="3"/>
  </r>
  <r>
    <x v="70"/>
    <x v="1"/>
    <n v="2.1"/>
    <x v="10"/>
    <x v="1"/>
    <x v="70"/>
    <x v="70"/>
    <x v="0"/>
  </r>
  <r>
    <x v="71"/>
    <x v="1"/>
    <n v="2.9"/>
    <x v="8"/>
    <x v="2"/>
    <x v="71"/>
    <x v="71"/>
    <x v="1"/>
  </r>
  <r>
    <x v="72"/>
    <x v="1"/>
    <n v="1.3"/>
    <x v="13"/>
    <x v="2"/>
    <x v="72"/>
    <x v="72"/>
    <x v="3"/>
  </r>
  <r>
    <x v="73"/>
    <x v="1"/>
    <n v="0.5"/>
    <x v="35"/>
    <x v="3"/>
    <x v="73"/>
    <x v="73"/>
    <x v="3"/>
  </r>
  <r>
    <x v="74"/>
    <x v="1"/>
    <n v="2"/>
    <x v="35"/>
    <x v="4"/>
    <x v="74"/>
    <x v="74"/>
    <x v="0"/>
  </r>
  <r>
    <x v="75"/>
    <x v="1"/>
    <n v="4.2"/>
    <x v="29"/>
    <x v="2"/>
    <x v="75"/>
    <x v="75"/>
    <x v="2"/>
  </r>
  <r>
    <x v="76"/>
    <x v="1"/>
    <n v="0.4"/>
    <x v="39"/>
    <x v="1"/>
    <x v="76"/>
    <x v="76"/>
    <x v="5"/>
  </r>
  <r>
    <x v="77"/>
    <x v="1"/>
    <n v="1.1000000000000001"/>
    <x v="14"/>
    <x v="1"/>
    <x v="77"/>
    <x v="77"/>
    <x v="5"/>
  </r>
  <r>
    <x v="78"/>
    <x v="1"/>
    <n v="1.7"/>
    <x v="11"/>
    <x v="0"/>
    <x v="78"/>
    <x v="78"/>
    <x v="3"/>
  </r>
  <r>
    <x v="79"/>
    <x v="1"/>
    <n v="2.8"/>
    <x v="38"/>
    <x v="4"/>
    <x v="79"/>
    <x v="79"/>
    <x v="0"/>
  </r>
  <r>
    <x v="80"/>
    <x v="1"/>
    <n v="2.5"/>
    <x v="40"/>
    <x v="1"/>
    <x v="80"/>
    <x v="80"/>
    <x v="8"/>
  </r>
  <r>
    <x v="81"/>
    <x v="1"/>
    <n v="3"/>
    <x v="4"/>
    <x v="1"/>
    <x v="81"/>
    <x v="81"/>
    <x v="0"/>
  </r>
  <r>
    <x v="82"/>
    <x v="1"/>
    <n v="2.6"/>
    <x v="41"/>
    <x v="2"/>
    <x v="82"/>
    <x v="82"/>
    <x v="1"/>
  </r>
  <r>
    <x v="83"/>
    <x v="1"/>
    <n v="4.8"/>
    <x v="2"/>
    <x v="2"/>
    <x v="83"/>
    <x v="83"/>
    <x v="2"/>
  </r>
  <r>
    <x v="84"/>
    <x v="1"/>
    <n v="4.7"/>
    <x v="9"/>
    <x v="2"/>
    <x v="84"/>
    <x v="84"/>
    <x v="2"/>
  </r>
  <r>
    <x v="85"/>
    <x v="1"/>
    <n v="2.2000000000000002"/>
    <x v="28"/>
    <x v="2"/>
    <x v="85"/>
    <x v="85"/>
    <x v="1"/>
  </r>
  <r>
    <x v="86"/>
    <x v="1"/>
    <n v="1.4"/>
    <x v="13"/>
    <x v="3"/>
    <x v="86"/>
    <x v="86"/>
    <x v="3"/>
  </r>
  <r>
    <x v="87"/>
    <x v="1"/>
    <n v="3.9"/>
    <x v="43"/>
    <x v="2"/>
    <x v="87"/>
    <x v="87"/>
    <x v="8"/>
  </r>
  <r>
    <x v="88"/>
    <x v="1"/>
    <n v="3.6"/>
    <x v="38"/>
    <x v="2"/>
    <x v="88"/>
    <x v="88"/>
    <x v="0"/>
  </r>
  <r>
    <x v="89"/>
    <x v="1"/>
    <n v="2.4"/>
    <x v="25"/>
    <x v="2"/>
    <x v="89"/>
    <x v="89"/>
    <x v="8"/>
  </r>
  <r>
    <x v="90"/>
    <x v="1"/>
    <n v="1.4"/>
    <x v="3"/>
    <x v="2"/>
    <x v="90"/>
    <x v="90"/>
    <x v="5"/>
  </r>
  <r>
    <x v="91"/>
    <x v="1"/>
    <n v="4"/>
    <x v="20"/>
    <x v="2"/>
    <x v="91"/>
    <x v="91"/>
    <x v="2"/>
  </r>
  <r>
    <x v="92"/>
    <x v="1"/>
    <n v="3.8"/>
    <x v="13"/>
    <x v="2"/>
    <x v="92"/>
    <x v="92"/>
    <x v="0"/>
  </r>
  <r>
    <x v="93"/>
    <x v="1"/>
    <n v="0.2"/>
    <x v="13"/>
    <x v="2"/>
    <x v="93"/>
    <x v="93"/>
    <x v="3"/>
  </r>
  <r>
    <x v="94"/>
    <x v="1"/>
    <n v="1.5"/>
    <x v="40"/>
    <x v="3"/>
    <x v="94"/>
    <x v="94"/>
    <x v="6"/>
  </r>
  <r>
    <x v="95"/>
    <x v="1"/>
    <n v="4.3"/>
    <x v="42"/>
    <x v="3"/>
    <x v="95"/>
    <x v="95"/>
    <x v="7"/>
  </r>
  <r>
    <x v="96"/>
    <x v="1"/>
    <n v="3.7"/>
    <x v="1"/>
    <x v="1"/>
    <x v="96"/>
    <x v="96"/>
    <x v="1"/>
  </r>
  <r>
    <x v="97"/>
    <x v="1"/>
    <n v="1.7"/>
    <x v="28"/>
    <x v="3"/>
    <x v="97"/>
    <x v="97"/>
    <x v="5"/>
  </r>
  <r>
    <x v="98"/>
    <x v="1"/>
    <n v="1.9"/>
    <x v="42"/>
    <x v="3"/>
    <x v="98"/>
    <x v="98"/>
    <x v="6"/>
  </r>
  <r>
    <x v="99"/>
    <x v="1"/>
    <n v="3.8"/>
    <x v="16"/>
    <x v="3"/>
    <x v="99"/>
    <x v="99"/>
    <x v="1"/>
  </r>
  <r>
    <x v="100"/>
    <x v="1"/>
    <n v="3.4"/>
    <x v="34"/>
    <x v="3"/>
    <x v="100"/>
    <x v="100"/>
    <x v="0"/>
  </r>
  <r>
    <x v="101"/>
    <x v="1"/>
    <n v="1.7"/>
    <x v="31"/>
    <x v="3"/>
    <x v="101"/>
    <x v="101"/>
    <x v="3"/>
  </r>
  <r>
    <x v="102"/>
    <x v="1"/>
    <n v="0.7"/>
    <x v="9"/>
    <x v="1"/>
    <x v="102"/>
    <x v="102"/>
    <x v="3"/>
  </r>
  <r>
    <x v="103"/>
    <x v="1"/>
    <n v="4"/>
    <x v="18"/>
    <x v="1"/>
    <x v="103"/>
    <x v="103"/>
    <x v="4"/>
  </r>
  <r>
    <x v="104"/>
    <x v="1"/>
    <n v="3.9"/>
    <x v="43"/>
    <x v="1"/>
    <x v="104"/>
    <x v="104"/>
    <x v="8"/>
  </r>
  <r>
    <x v="105"/>
    <x v="1"/>
    <n v="3"/>
    <x v="0"/>
    <x v="1"/>
    <x v="105"/>
    <x v="105"/>
    <x v="0"/>
  </r>
  <r>
    <x v="106"/>
    <x v="1"/>
    <n v="2.1"/>
    <x v="30"/>
    <x v="1"/>
    <x v="106"/>
    <x v="106"/>
    <x v="8"/>
  </r>
  <r>
    <x v="107"/>
    <x v="1"/>
    <n v="1.2"/>
    <x v="19"/>
    <x v="0"/>
    <x v="107"/>
    <x v="107"/>
    <x v="6"/>
  </r>
  <r>
    <x v="108"/>
    <x v="1"/>
    <n v="0.6"/>
    <x v="32"/>
    <x v="3"/>
    <x v="108"/>
    <x v="108"/>
    <x v="3"/>
  </r>
  <r>
    <x v="109"/>
    <x v="1"/>
    <n v="4.9000000000000004"/>
    <x v="44"/>
    <x v="2"/>
    <x v="109"/>
    <x v="109"/>
    <x v="7"/>
  </r>
  <r>
    <x v="110"/>
    <x v="1"/>
    <n v="0.9"/>
    <x v="11"/>
    <x v="3"/>
    <x v="110"/>
    <x v="110"/>
    <x v="3"/>
  </r>
  <r>
    <x v="111"/>
    <x v="1"/>
    <n v="1.2"/>
    <x v="12"/>
    <x v="3"/>
    <x v="111"/>
    <x v="111"/>
    <x v="3"/>
  </r>
  <r>
    <x v="112"/>
    <x v="1"/>
    <n v="2.5"/>
    <x v="37"/>
    <x v="2"/>
    <x v="112"/>
    <x v="112"/>
    <x v="1"/>
  </r>
  <r>
    <x v="113"/>
    <x v="1"/>
    <n v="2.2000000000000002"/>
    <x v="8"/>
    <x v="2"/>
    <x v="113"/>
    <x v="113"/>
    <x v="1"/>
  </r>
  <r>
    <x v="114"/>
    <x v="1"/>
    <n v="1.1000000000000001"/>
    <x v="7"/>
    <x v="3"/>
    <x v="114"/>
    <x v="114"/>
    <x v="5"/>
  </r>
  <r>
    <x v="115"/>
    <x v="1"/>
    <n v="4"/>
    <x v="16"/>
    <x v="1"/>
    <x v="115"/>
    <x v="115"/>
    <x v="4"/>
  </r>
  <r>
    <x v="116"/>
    <x v="1"/>
    <n v="4.8"/>
    <x v="19"/>
    <x v="3"/>
    <x v="116"/>
    <x v="116"/>
    <x v="7"/>
  </r>
  <r>
    <x v="117"/>
    <x v="1"/>
    <n v="2.2000000000000002"/>
    <x v="36"/>
    <x v="3"/>
    <x v="117"/>
    <x v="117"/>
    <x v="0"/>
  </r>
  <r>
    <x v="118"/>
    <x v="1"/>
    <n v="4.8"/>
    <x v="41"/>
    <x v="3"/>
    <x v="118"/>
    <x v="118"/>
    <x v="4"/>
  </r>
  <r>
    <x v="119"/>
    <x v="1"/>
    <n v="0.8"/>
    <x v="38"/>
    <x v="1"/>
    <x v="119"/>
    <x v="119"/>
    <x v="3"/>
  </r>
  <r>
    <x v="120"/>
    <x v="1"/>
    <n v="2.8"/>
    <x v="30"/>
    <x v="1"/>
    <x v="120"/>
    <x v="120"/>
    <x v="8"/>
  </r>
  <r>
    <x v="121"/>
    <x v="1"/>
    <n v="0.2"/>
    <x v="21"/>
    <x v="0"/>
    <x v="121"/>
    <x v="121"/>
    <x v="3"/>
  </r>
  <r>
    <x v="122"/>
    <x v="1"/>
    <n v="3.1"/>
    <x v="43"/>
    <x v="1"/>
    <x v="122"/>
    <x v="122"/>
    <x v="8"/>
  </r>
  <r>
    <x v="123"/>
    <x v="1"/>
    <n v="1.9"/>
    <x v="23"/>
    <x v="1"/>
    <x v="123"/>
    <x v="123"/>
    <x v="3"/>
  </r>
  <r>
    <x v="124"/>
    <x v="1"/>
    <n v="0.7"/>
    <x v="20"/>
    <x v="3"/>
    <x v="124"/>
    <x v="124"/>
    <x v="3"/>
  </r>
  <r>
    <x v="125"/>
    <x v="1"/>
    <n v="1.2"/>
    <x v="7"/>
    <x v="1"/>
    <x v="125"/>
    <x v="125"/>
    <x v="5"/>
  </r>
  <r>
    <x v="126"/>
    <x v="1"/>
    <n v="0.9"/>
    <x v="13"/>
    <x v="1"/>
    <x v="126"/>
    <x v="126"/>
    <x v="3"/>
  </r>
  <r>
    <x v="127"/>
    <x v="1"/>
    <n v="2"/>
    <x v="14"/>
    <x v="1"/>
    <x v="127"/>
    <x v="127"/>
    <x v="1"/>
  </r>
  <r>
    <x v="128"/>
    <x v="1"/>
    <n v="2.7"/>
    <x v="16"/>
    <x v="1"/>
    <x v="128"/>
    <x v="128"/>
    <x v="1"/>
  </r>
  <r>
    <x v="129"/>
    <x v="1"/>
    <n v="1.2"/>
    <x v="15"/>
    <x v="1"/>
    <x v="129"/>
    <x v="129"/>
    <x v="6"/>
  </r>
  <r>
    <x v="130"/>
    <x v="1"/>
    <n v="0.6"/>
    <x v="28"/>
    <x v="1"/>
    <x v="130"/>
    <x v="130"/>
    <x v="5"/>
  </r>
  <r>
    <x v="131"/>
    <x v="1"/>
    <n v="2.2999999999999998"/>
    <x v="5"/>
    <x v="1"/>
    <x v="131"/>
    <x v="131"/>
    <x v="1"/>
  </r>
  <r>
    <x v="132"/>
    <x v="1"/>
    <n v="0.3"/>
    <x v="17"/>
    <x v="1"/>
    <x v="132"/>
    <x v="132"/>
    <x v="5"/>
  </r>
  <r>
    <x v="133"/>
    <x v="1"/>
    <n v="3.4"/>
    <x v="25"/>
    <x v="1"/>
    <x v="133"/>
    <x v="133"/>
    <x v="8"/>
  </r>
  <r>
    <x v="134"/>
    <x v="1"/>
    <n v="2.2000000000000002"/>
    <x v="7"/>
    <x v="1"/>
    <x v="134"/>
    <x v="134"/>
    <x v="1"/>
  </r>
  <r>
    <x v="135"/>
    <x v="1"/>
    <n v="1"/>
    <x v="19"/>
    <x v="2"/>
    <x v="135"/>
    <x v="135"/>
    <x v="6"/>
  </r>
  <r>
    <x v="136"/>
    <x v="1"/>
    <n v="2.9"/>
    <x v="41"/>
    <x v="2"/>
    <x v="136"/>
    <x v="136"/>
    <x v="1"/>
  </r>
  <r>
    <x v="137"/>
    <x v="1"/>
    <n v="3.1"/>
    <x v="7"/>
    <x v="2"/>
    <x v="137"/>
    <x v="137"/>
    <x v="1"/>
  </r>
  <r>
    <x v="138"/>
    <x v="1"/>
    <n v="0.2"/>
    <x v="1"/>
    <x v="2"/>
    <x v="138"/>
    <x v="138"/>
    <x v="5"/>
  </r>
  <r>
    <x v="139"/>
    <x v="1"/>
    <n v="2.9"/>
    <x v="38"/>
    <x v="2"/>
    <x v="139"/>
    <x v="139"/>
    <x v="0"/>
  </r>
  <r>
    <x v="140"/>
    <x v="1"/>
    <n v="2.2000000000000002"/>
    <x v="36"/>
    <x v="2"/>
    <x v="140"/>
    <x v="140"/>
    <x v="0"/>
  </r>
  <r>
    <x v="141"/>
    <x v="1"/>
    <n v="2.2999999999999998"/>
    <x v="4"/>
    <x v="2"/>
    <x v="141"/>
    <x v="141"/>
    <x v="0"/>
  </r>
  <r>
    <x v="142"/>
    <x v="1"/>
    <n v="1.9"/>
    <x v="1"/>
    <x v="2"/>
    <x v="142"/>
    <x v="142"/>
    <x v="5"/>
  </r>
  <r>
    <x v="143"/>
    <x v="1"/>
    <n v="2.2000000000000002"/>
    <x v="45"/>
    <x v="2"/>
    <x v="143"/>
    <x v="143"/>
    <x v="8"/>
  </r>
  <r>
    <x v="144"/>
    <x v="1"/>
    <n v="3.9"/>
    <x v="27"/>
    <x v="2"/>
    <x v="144"/>
    <x v="144"/>
    <x v="8"/>
  </r>
  <r>
    <x v="145"/>
    <x v="1"/>
    <n v="3.6"/>
    <x v="20"/>
    <x v="2"/>
    <x v="145"/>
    <x v="145"/>
    <x v="0"/>
  </r>
  <r>
    <x v="146"/>
    <x v="1"/>
    <n v="2.6"/>
    <x v="42"/>
    <x v="2"/>
    <x v="146"/>
    <x v="146"/>
    <x v="8"/>
  </r>
  <r>
    <x v="147"/>
    <x v="1"/>
    <n v="4.5"/>
    <x v="9"/>
    <x v="1"/>
    <x v="147"/>
    <x v="147"/>
    <x v="2"/>
  </r>
  <r>
    <x v="148"/>
    <x v="1"/>
    <n v="0.7"/>
    <x v="27"/>
    <x v="1"/>
    <x v="148"/>
    <x v="148"/>
    <x v="6"/>
  </r>
  <r>
    <x v="149"/>
    <x v="1"/>
    <n v="2.8"/>
    <x v="41"/>
    <x v="1"/>
    <x v="149"/>
    <x v="149"/>
    <x v="1"/>
  </r>
  <r>
    <x v="150"/>
    <x v="1"/>
    <n v="1.9"/>
    <x v="36"/>
    <x v="0"/>
    <x v="150"/>
    <x v="150"/>
    <x v="3"/>
  </r>
  <r>
    <x v="151"/>
    <x v="1"/>
    <n v="1.9"/>
    <x v="19"/>
    <x v="0"/>
    <x v="151"/>
    <x v="151"/>
    <x v="6"/>
  </r>
  <r>
    <x v="152"/>
    <x v="1"/>
    <n v="4.5"/>
    <x v="14"/>
    <x v="1"/>
    <x v="152"/>
    <x v="152"/>
    <x v="4"/>
  </r>
  <r>
    <x v="153"/>
    <x v="1"/>
    <n v="0.2"/>
    <x v="26"/>
    <x v="1"/>
    <x v="153"/>
    <x v="153"/>
    <x v="3"/>
  </r>
  <r>
    <x v="154"/>
    <x v="1"/>
    <n v="1.1000000000000001"/>
    <x v="18"/>
    <x v="2"/>
    <x v="154"/>
    <x v="154"/>
    <x v="5"/>
  </r>
  <r>
    <x v="155"/>
    <x v="1"/>
    <n v="3"/>
    <x v="7"/>
    <x v="1"/>
    <x v="155"/>
    <x v="155"/>
    <x v="1"/>
  </r>
  <r>
    <x v="156"/>
    <x v="1"/>
    <n v="1.8"/>
    <x v="25"/>
    <x v="1"/>
    <x v="156"/>
    <x v="156"/>
    <x v="6"/>
  </r>
  <r>
    <x v="157"/>
    <x v="1"/>
    <n v="0.9"/>
    <x v="0"/>
    <x v="2"/>
    <x v="157"/>
    <x v="157"/>
    <x v="3"/>
  </r>
  <r>
    <x v="158"/>
    <x v="1"/>
    <n v="2.1"/>
    <x v="35"/>
    <x v="2"/>
    <x v="158"/>
    <x v="158"/>
    <x v="0"/>
  </r>
  <r>
    <x v="159"/>
    <x v="1"/>
    <n v="3.7"/>
    <x v="0"/>
    <x v="2"/>
    <x v="159"/>
    <x v="159"/>
    <x v="0"/>
  </r>
  <r>
    <x v="160"/>
    <x v="1"/>
    <n v="4.0999999999999996"/>
    <x v="14"/>
    <x v="2"/>
    <x v="160"/>
    <x v="160"/>
    <x v="4"/>
  </r>
  <r>
    <x v="161"/>
    <x v="1"/>
    <n v="1.1000000000000001"/>
    <x v="37"/>
    <x v="1"/>
    <x v="161"/>
    <x v="161"/>
    <x v="5"/>
  </r>
  <r>
    <x v="162"/>
    <x v="1"/>
    <n v="3.7"/>
    <x v="10"/>
    <x v="1"/>
    <x v="162"/>
    <x v="162"/>
    <x v="0"/>
  </r>
  <r>
    <x v="163"/>
    <x v="1"/>
    <n v="0.3"/>
    <x v="14"/>
    <x v="1"/>
    <x v="163"/>
    <x v="163"/>
    <x v="5"/>
  </r>
  <r>
    <x v="164"/>
    <x v="1"/>
    <n v="0.6"/>
    <x v="31"/>
    <x v="2"/>
    <x v="164"/>
    <x v="164"/>
    <x v="3"/>
  </r>
  <r>
    <x v="165"/>
    <x v="1"/>
    <n v="2.4"/>
    <x v="3"/>
    <x v="1"/>
    <x v="165"/>
    <x v="165"/>
    <x v="1"/>
  </r>
  <r>
    <x v="0"/>
    <x v="2"/>
    <n v="1.4"/>
    <x v="34"/>
    <x v="0"/>
    <x v="0"/>
    <x v="0"/>
    <x v="3"/>
  </r>
  <r>
    <x v="1"/>
    <x v="2"/>
    <n v="3.7"/>
    <x v="1"/>
    <x v="1"/>
    <x v="1"/>
    <x v="1"/>
    <x v="1"/>
  </r>
  <r>
    <x v="2"/>
    <x v="2"/>
    <n v="0.5"/>
    <x v="0"/>
    <x v="1"/>
    <x v="2"/>
    <x v="2"/>
    <x v="3"/>
  </r>
  <r>
    <x v="3"/>
    <x v="2"/>
    <n v="1.2"/>
    <x v="5"/>
    <x v="2"/>
    <x v="3"/>
    <x v="3"/>
    <x v="5"/>
  </r>
  <r>
    <x v="4"/>
    <x v="2"/>
    <n v="4.5999999999999996"/>
    <x v="16"/>
    <x v="2"/>
    <x v="4"/>
    <x v="4"/>
    <x v="4"/>
  </r>
  <r>
    <x v="5"/>
    <x v="2"/>
    <n v="4.5999999999999996"/>
    <x v="18"/>
    <x v="2"/>
    <x v="5"/>
    <x v="5"/>
    <x v="4"/>
  </r>
  <r>
    <x v="6"/>
    <x v="2"/>
    <n v="5"/>
    <x v="18"/>
    <x v="2"/>
    <x v="6"/>
    <x v="6"/>
    <x v="4"/>
  </r>
  <r>
    <x v="7"/>
    <x v="2"/>
    <n v="3.1"/>
    <x v="28"/>
    <x v="2"/>
    <x v="7"/>
    <x v="7"/>
    <x v="1"/>
  </r>
  <r>
    <x v="8"/>
    <x v="2"/>
    <n v="1.5"/>
    <x v="17"/>
    <x v="2"/>
    <x v="8"/>
    <x v="8"/>
    <x v="5"/>
  </r>
  <r>
    <x v="9"/>
    <x v="2"/>
    <n v="5"/>
    <x v="10"/>
    <x v="2"/>
    <x v="9"/>
    <x v="9"/>
    <x v="2"/>
  </r>
  <r>
    <x v="10"/>
    <x v="2"/>
    <n v="4.8"/>
    <x v="16"/>
    <x v="2"/>
    <x v="10"/>
    <x v="10"/>
    <x v="4"/>
  </r>
  <r>
    <x v="11"/>
    <x v="2"/>
    <n v="2.7"/>
    <x v="22"/>
    <x v="3"/>
    <x v="11"/>
    <x v="11"/>
    <x v="0"/>
  </r>
  <r>
    <x v="12"/>
    <x v="2"/>
    <n v="1.8"/>
    <x v="4"/>
    <x v="0"/>
    <x v="12"/>
    <x v="12"/>
    <x v="3"/>
  </r>
  <r>
    <x v="13"/>
    <x v="2"/>
    <n v="3.9"/>
    <x v="2"/>
    <x v="2"/>
    <x v="13"/>
    <x v="13"/>
    <x v="0"/>
  </r>
  <r>
    <x v="14"/>
    <x v="2"/>
    <n v="1.4"/>
    <x v="23"/>
    <x v="2"/>
    <x v="14"/>
    <x v="14"/>
    <x v="3"/>
  </r>
  <r>
    <x v="15"/>
    <x v="2"/>
    <n v="2.7"/>
    <x v="9"/>
    <x v="0"/>
    <x v="15"/>
    <x v="15"/>
    <x v="0"/>
  </r>
  <r>
    <x v="16"/>
    <x v="2"/>
    <n v="2.7"/>
    <x v="13"/>
    <x v="2"/>
    <x v="16"/>
    <x v="16"/>
    <x v="0"/>
  </r>
  <r>
    <x v="17"/>
    <x v="2"/>
    <n v="0.6"/>
    <x v="34"/>
    <x v="2"/>
    <x v="17"/>
    <x v="17"/>
    <x v="3"/>
  </r>
  <r>
    <x v="18"/>
    <x v="2"/>
    <n v="2.8"/>
    <x v="35"/>
    <x v="2"/>
    <x v="18"/>
    <x v="18"/>
    <x v="0"/>
  </r>
  <r>
    <x v="19"/>
    <x v="2"/>
    <n v="2"/>
    <x v="36"/>
    <x v="1"/>
    <x v="19"/>
    <x v="19"/>
    <x v="0"/>
  </r>
  <r>
    <x v="20"/>
    <x v="2"/>
    <n v="3.2"/>
    <x v="38"/>
    <x v="1"/>
    <x v="20"/>
    <x v="20"/>
    <x v="0"/>
  </r>
  <r>
    <x v="21"/>
    <x v="2"/>
    <n v="3"/>
    <x v="26"/>
    <x v="2"/>
    <x v="21"/>
    <x v="21"/>
    <x v="0"/>
  </r>
  <r>
    <x v="22"/>
    <x v="2"/>
    <n v="4.5999999999999996"/>
    <x v="5"/>
    <x v="2"/>
    <x v="22"/>
    <x v="22"/>
    <x v="4"/>
  </r>
  <r>
    <x v="23"/>
    <x v="2"/>
    <n v="3.7"/>
    <x v="6"/>
    <x v="2"/>
    <x v="23"/>
    <x v="23"/>
    <x v="1"/>
  </r>
  <r>
    <x v="24"/>
    <x v="2"/>
    <n v="3.6"/>
    <x v="9"/>
    <x v="3"/>
    <x v="24"/>
    <x v="24"/>
    <x v="0"/>
  </r>
  <r>
    <x v="25"/>
    <x v="2"/>
    <n v="4.5999999999999996"/>
    <x v="11"/>
    <x v="1"/>
    <x v="25"/>
    <x v="25"/>
    <x v="2"/>
  </r>
  <r>
    <x v="26"/>
    <x v="2"/>
    <n v="1.5"/>
    <x v="12"/>
    <x v="1"/>
    <x v="26"/>
    <x v="26"/>
    <x v="3"/>
  </r>
  <r>
    <x v="27"/>
    <x v="2"/>
    <n v="4.2"/>
    <x v="34"/>
    <x v="1"/>
    <x v="27"/>
    <x v="27"/>
    <x v="2"/>
  </r>
  <r>
    <x v="28"/>
    <x v="2"/>
    <n v="1.5"/>
    <x v="13"/>
    <x v="3"/>
    <x v="28"/>
    <x v="28"/>
    <x v="3"/>
  </r>
  <r>
    <x v="29"/>
    <x v="2"/>
    <n v="4.3"/>
    <x v="1"/>
    <x v="3"/>
    <x v="29"/>
    <x v="29"/>
    <x v="4"/>
  </r>
  <r>
    <x v="30"/>
    <x v="2"/>
    <n v="2.2999999999999998"/>
    <x v="38"/>
    <x v="0"/>
    <x v="30"/>
    <x v="30"/>
    <x v="0"/>
  </r>
  <r>
    <x v="31"/>
    <x v="2"/>
    <n v="3.1"/>
    <x v="10"/>
    <x v="2"/>
    <x v="31"/>
    <x v="31"/>
    <x v="0"/>
  </r>
  <r>
    <x v="32"/>
    <x v="2"/>
    <n v="4.5"/>
    <x v="2"/>
    <x v="3"/>
    <x v="32"/>
    <x v="32"/>
    <x v="2"/>
  </r>
  <r>
    <x v="33"/>
    <x v="2"/>
    <n v="1.2"/>
    <x v="8"/>
    <x v="3"/>
    <x v="33"/>
    <x v="33"/>
    <x v="5"/>
  </r>
  <r>
    <x v="34"/>
    <x v="2"/>
    <n v="0.6"/>
    <x v="5"/>
    <x v="0"/>
    <x v="34"/>
    <x v="34"/>
    <x v="5"/>
  </r>
  <r>
    <x v="35"/>
    <x v="2"/>
    <n v="3.9"/>
    <x v="0"/>
    <x v="1"/>
    <x v="35"/>
    <x v="35"/>
    <x v="0"/>
  </r>
  <r>
    <x v="36"/>
    <x v="2"/>
    <n v="2.5"/>
    <x v="6"/>
    <x v="1"/>
    <x v="36"/>
    <x v="36"/>
    <x v="1"/>
  </r>
  <r>
    <x v="37"/>
    <x v="2"/>
    <n v="0.2"/>
    <x v="14"/>
    <x v="1"/>
    <x v="37"/>
    <x v="37"/>
    <x v="5"/>
  </r>
  <r>
    <x v="38"/>
    <x v="2"/>
    <n v="1"/>
    <x v="17"/>
    <x v="3"/>
    <x v="38"/>
    <x v="38"/>
    <x v="5"/>
  </r>
  <r>
    <x v="39"/>
    <x v="2"/>
    <n v="1.8"/>
    <x v="26"/>
    <x v="3"/>
    <x v="39"/>
    <x v="39"/>
    <x v="3"/>
  </r>
  <r>
    <x v="40"/>
    <x v="2"/>
    <n v="4.2"/>
    <x v="13"/>
    <x v="3"/>
    <x v="40"/>
    <x v="40"/>
    <x v="2"/>
  </r>
  <r>
    <x v="41"/>
    <x v="2"/>
    <n v="3.8"/>
    <x v="14"/>
    <x v="0"/>
    <x v="41"/>
    <x v="41"/>
    <x v="1"/>
  </r>
  <r>
    <x v="42"/>
    <x v="2"/>
    <n v="4.3"/>
    <x v="33"/>
    <x v="4"/>
    <x v="42"/>
    <x v="42"/>
    <x v="4"/>
  </r>
  <r>
    <x v="43"/>
    <x v="2"/>
    <n v="2.1"/>
    <x v="12"/>
    <x v="1"/>
    <x v="43"/>
    <x v="43"/>
    <x v="0"/>
  </r>
  <r>
    <x v="44"/>
    <x v="2"/>
    <n v="4.4000000000000004"/>
    <x v="11"/>
    <x v="1"/>
    <x v="44"/>
    <x v="44"/>
    <x v="2"/>
  </r>
  <r>
    <x v="45"/>
    <x v="2"/>
    <n v="2.2000000000000002"/>
    <x v="12"/>
    <x v="1"/>
    <x v="45"/>
    <x v="45"/>
    <x v="0"/>
  </r>
  <r>
    <x v="46"/>
    <x v="2"/>
    <n v="1.7"/>
    <x v="0"/>
    <x v="3"/>
    <x v="46"/>
    <x v="46"/>
    <x v="3"/>
  </r>
  <r>
    <x v="47"/>
    <x v="2"/>
    <n v="4.4000000000000004"/>
    <x v="5"/>
    <x v="1"/>
    <x v="47"/>
    <x v="47"/>
    <x v="4"/>
  </r>
  <r>
    <x v="48"/>
    <x v="2"/>
    <n v="2.1"/>
    <x v="13"/>
    <x v="3"/>
    <x v="48"/>
    <x v="48"/>
    <x v="0"/>
  </r>
  <r>
    <x v="49"/>
    <x v="2"/>
    <n v="1.6"/>
    <x v="16"/>
    <x v="3"/>
    <x v="49"/>
    <x v="49"/>
    <x v="5"/>
  </r>
  <r>
    <x v="50"/>
    <x v="2"/>
    <n v="3"/>
    <x v="2"/>
    <x v="3"/>
    <x v="50"/>
    <x v="50"/>
    <x v="0"/>
  </r>
  <r>
    <x v="51"/>
    <x v="2"/>
    <n v="0.9"/>
    <x v="35"/>
    <x v="3"/>
    <x v="51"/>
    <x v="51"/>
    <x v="3"/>
  </r>
  <r>
    <x v="52"/>
    <x v="2"/>
    <n v="0.5"/>
    <x v="7"/>
    <x v="4"/>
    <x v="52"/>
    <x v="52"/>
    <x v="5"/>
  </r>
  <r>
    <x v="53"/>
    <x v="2"/>
    <n v="4"/>
    <x v="21"/>
    <x v="3"/>
    <x v="53"/>
    <x v="53"/>
    <x v="2"/>
  </r>
  <r>
    <x v="54"/>
    <x v="2"/>
    <n v="4.3"/>
    <x v="21"/>
    <x v="3"/>
    <x v="54"/>
    <x v="54"/>
    <x v="2"/>
  </r>
  <r>
    <x v="55"/>
    <x v="2"/>
    <n v="1.2"/>
    <x v="14"/>
    <x v="3"/>
    <x v="55"/>
    <x v="55"/>
    <x v="5"/>
  </r>
  <r>
    <x v="56"/>
    <x v="2"/>
    <n v="3.1"/>
    <x v="29"/>
    <x v="3"/>
    <x v="56"/>
    <x v="56"/>
    <x v="0"/>
  </r>
  <r>
    <x v="57"/>
    <x v="2"/>
    <n v="4.9000000000000004"/>
    <x v="5"/>
    <x v="3"/>
    <x v="57"/>
    <x v="57"/>
    <x v="4"/>
  </r>
  <r>
    <x v="58"/>
    <x v="2"/>
    <n v="2.2000000000000002"/>
    <x v="2"/>
    <x v="3"/>
    <x v="58"/>
    <x v="58"/>
    <x v="0"/>
  </r>
  <r>
    <x v="59"/>
    <x v="2"/>
    <n v="4"/>
    <x v="36"/>
    <x v="0"/>
    <x v="59"/>
    <x v="59"/>
    <x v="2"/>
  </r>
  <r>
    <x v="60"/>
    <x v="2"/>
    <n v="4.5"/>
    <x v="29"/>
    <x v="3"/>
    <x v="60"/>
    <x v="60"/>
    <x v="2"/>
  </r>
  <r>
    <x v="61"/>
    <x v="2"/>
    <n v="4"/>
    <x v="29"/>
    <x v="1"/>
    <x v="61"/>
    <x v="61"/>
    <x v="2"/>
  </r>
  <r>
    <x v="62"/>
    <x v="2"/>
    <n v="0.5"/>
    <x v="4"/>
    <x v="0"/>
    <x v="62"/>
    <x v="62"/>
    <x v="3"/>
  </r>
  <r>
    <x v="63"/>
    <x v="2"/>
    <n v="0.4"/>
    <x v="31"/>
    <x v="3"/>
    <x v="63"/>
    <x v="63"/>
    <x v="3"/>
  </r>
  <r>
    <x v="64"/>
    <x v="2"/>
    <n v="4.9000000000000004"/>
    <x v="29"/>
    <x v="1"/>
    <x v="64"/>
    <x v="64"/>
    <x v="2"/>
  </r>
  <r>
    <x v="65"/>
    <x v="2"/>
    <n v="0.5"/>
    <x v="28"/>
    <x v="1"/>
    <x v="65"/>
    <x v="65"/>
    <x v="5"/>
  </r>
  <r>
    <x v="66"/>
    <x v="2"/>
    <n v="0.2"/>
    <x v="26"/>
    <x v="1"/>
    <x v="66"/>
    <x v="66"/>
    <x v="3"/>
  </r>
  <r>
    <x v="67"/>
    <x v="2"/>
    <n v="0.2"/>
    <x v="9"/>
    <x v="3"/>
    <x v="67"/>
    <x v="67"/>
    <x v="3"/>
  </r>
  <r>
    <x v="68"/>
    <x v="2"/>
    <n v="4.3"/>
    <x v="33"/>
    <x v="1"/>
    <x v="68"/>
    <x v="68"/>
    <x v="4"/>
  </r>
  <r>
    <x v="69"/>
    <x v="2"/>
    <n v="3.8"/>
    <x v="34"/>
    <x v="1"/>
    <x v="69"/>
    <x v="69"/>
    <x v="0"/>
  </r>
  <r>
    <x v="70"/>
    <x v="2"/>
    <n v="1.6"/>
    <x v="41"/>
    <x v="1"/>
    <x v="70"/>
    <x v="70"/>
    <x v="5"/>
  </r>
  <r>
    <x v="71"/>
    <x v="2"/>
    <n v="3.6"/>
    <x v="31"/>
    <x v="2"/>
    <x v="71"/>
    <x v="71"/>
    <x v="0"/>
  </r>
  <r>
    <x v="72"/>
    <x v="2"/>
    <n v="2.9"/>
    <x v="2"/>
    <x v="2"/>
    <x v="72"/>
    <x v="72"/>
    <x v="0"/>
  </r>
  <r>
    <x v="73"/>
    <x v="2"/>
    <n v="1.7"/>
    <x v="35"/>
    <x v="3"/>
    <x v="73"/>
    <x v="73"/>
    <x v="3"/>
  </r>
  <r>
    <x v="74"/>
    <x v="2"/>
    <n v="2.2000000000000002"/>
    <x v="4"/>
    <x v="4"/>
    <x v="74"/>
    <x v="74"/>
    <x v="0"/>
  </r>
  <r>
    <x v="75"/>
    <x v="2"/>
    <n v="3.4"/>
    <x v="2"/>
    <x v="2"/>
    <x v="75"/>
    <x v="75"/>
    <x v="0"/>
  </r>
  <r>
    <x v="76"/>
    <x v="2"/>
    <n v="2.7"/>
    <x v="16"/>
    <x v="1"/>
    <x v="76"/>
    <x v="76"/>
    <x v="1"/>
  </r>
  <r>
    <x v="77"/>
    <x v="2"/>
    <n v="1.6"/>
    <x v="27"/>
    <x v="1"/>
    <x v="77"/>
    <x v="77"/>
    <x v="6"/>
  </r>
  <r>
    <x v="78"/>
    <x v="2"/>
    <n v="1.9"/>
    <x v="0"/>
    <x v="0"/>
    <x v="78"/>
    <x v="78"/>
    <x v="3"/>
  </r>
  <r>
    <x v="79"/>
    <x v="2"/>
    <n v="0.5"/>
    <x v="31"/>
    <x v="4"/>
    <x v="79"/>
    <x v="79"/>
    <x v="3"/>
  </r>
  <r>
    <x v="80"/>
    <x v="2"/>
    <n v="3.7"/>
    <x v="9"/>
    <x v="1"/>
    <x v="80"/>
    <x v="80"/>
    <x v="0"/>
  </r>
  <r>
    <x v="81"/>
    <x v="2"/>
    <n v="4"/>
    <x v="13"/>
    <x v="1"/>
    <x v="81"/>
    <x v="81"/>
    <x v="2"/>
  </r>
  <r>
    <x v="82"/>
    <x v="2"/>
    <n v="2.4"/>
    <x v="14"/>
    <x v="2"/>
    <x v="82"/>
    <x v="82"/>
    <x v="1"/>
  </r>
  <r>
    <x v="83"/>
    <x v="2"/>
    <n v="3.6"/>
    <x v="35"/>
    <x v="2"/>
    <x v="83"/>
    <x v="83"/>
    <x v="0"/>
  </r>
  <r>
    <x v="84"/>
    <x v="2"/>
    <n v="3.8"/>
    <x v="1"/>
    <x v="2"/>
    <x v="84"/>
    <x v="84"/>
    <x v="1"/>
  </r>
  <r>
    <x v="85"/>
    <x v="2"/>
    <n v="4.8"/>
    <x v="41"/>
    <x v="2"/>
    <x v="85"/>
    <x v="85"/>
    <x v="4"/>
  </r>
  <r>
    <x v="86"/>
    <x v="2"/>
    <n v="2.2000000000000002"/>
    <x v="11"/>
    <x v="3"/>
    <x v="86"/>
    <x v="86"/>
    <x v="0"/>
  </r>
  <r>
    <x v="87"/>
    <x v="2"/>
    <n v="1.1000000000000001"/>
    <x v="22"/>
    <x v="2"/>
    <x v="87"/>
    <x v="87"/>
    <x v="3"/>
  </r>
  <r>
    <x v="88"/>
    <x v="2"/>
    <n v="1.6"/>
    <x v="41"/>
    <x v="2"/>
    <x v="88"/>
    <x v="88"/>
    <x v="5"/>
  </r>
  <r>
    <x v="89"/>
    <x v="2"/>
    <n v="4.5999999999999996"/>
    <x v="26"/>
    <x v="2"/>
    <x v="89"/>
    <x v="89"/>
    <x v="2"/>
  </r>
  <r>
    <x v="90"/>
    <x v="2"/>
    <n v="3.5"/>
    <x v="28"/>
    <x v="2"/>
    <x v="90"/>
    <x v="90"/>
    <x v="1"/>
  </r>
  <r>
    <x v="91"/>
    <x v="2"/>
    <n v="2.7"/>
    <x v="21"/>
    <x v="2"/>
    <x v="91"/>
    <x v="91"/>
    <x v="0"/>
  </r>
  <r>
    <x v="92"/>
    <x v="2"/>
    <n v="1.3"/>
    <x v="8"/>
    <x v="2"/>
    <x v="92"/>
    <x v="92"/>
    <x v="5"/>
  </r>
  <r>
    <x v="93"/>
    <x v="2"/>
    <n v="2"/>
    <x v="2"/>
    <x v="2"/>
    <x v="93"/>
    <x v="93"/>
    <x v="0"/>
  </r>
  <r>
    <x v="94"/>
    <x v="2"/>
    <n v="3.6"/>
    <x v="0"/>
    <x v="3"/>
    <x v="94"/>
    <x v="94"/>
    <x v="0"/>
  </r>
  <r>
    <x v="95"/>
    <x v="2"/>
    <n v="3.5"/>
    <x v="2"/>
    <x v="3"/>
    <x v="95"/>
    <x v="95"/>
    <x v="0"/>
  </r>
  <r>
    <x v="96"/>
    <x v="2"/>
    <n v="2.8"/>
    <x v="3"/>
    <x v="1"/>
    <x v="96"/>
    <x v="96"/>
    <x v="1"/>
  </r>
  <r>
    <x v="97"/>
    <x v="2"/>
    <n v="1.8"/>
    <x v="28"/>
    <x v="3"/>
    <x v="97"/>
    <x v="97"/>
    <x v="5"/>
  </r>
  <r>
    <x v="98"/>
    <x v="2"/>
    <n v="3.3"/>
    <x v="9"/>
    <x v="3"/>
    <x v="98"/>
    <x v="98"/>
    <x v="0"/>
  </r>
  <r>
    <x v="99"/>
    <x v="2"/>
    <n v="0.5"/>
    <x v="41"/>
    <x v="3"/>
    <x v="99"/>
    <x v="99"/>
    <x v="5"/>
  </r>
  <r>
    <x v="100"/>
    <x v="2"/>
    <n v="2.5"/>
    <x v="32"/>
    <x v="3"/>
    <x v="100"/>
    <x v="100"/>
    <x v="0"/>
  </r>
  <r>
    <x v="101"/>
    <x v="2"/>
    <n v="3.8"/>
    <x v="12"/>
    <x v="3"/>
    <x v="101"/>
    <x v="101"/>
    <x v="0"/>
  </r>
  <r>
    <x v="102"/>
    <x v="2"/>
    <n v="2.2000000000000002"/>
    <x v="43"/>
    <x v="1"/>
    <x v="102"/>
    <x v="102"/>
    <x v="8"/>
  </r>
  <r>
    <x v="103"/>
    <x v="2"/>
    <n v="4.8"/>
    <x v="12"/>
    <x v="1"/>
    <x v="103"/>
    <x v="103"/>
    <x v="2"/>
  </r>
  <r>
    <x v="104"/>
    <x v="2"/>
    <n v="0.3"/>
    <x v="29"/>
    <x v="1"/>
    <x v="104"/>
    <x v="104"/>
    <x v="3"/>
  </r>
  <r>
    <x v="105"/>
    <x v="2"/>
    <n v="2.6"/>
    <x v="6"/>
    <x v="1"/>
    <x v="105"/>
    <x v="105"/>
    <x v="1"/>
  </r>
  <r>
    <x v="106"/>
    <x v="2"/>
    <n v="3.6"/>
    <x v="6"/>
    <x v="1"/>
    <x v="106"/>
    <x v="106"/>
    <x v="1"/>
  </r>
  <r>
    <x v="107"/>
    <x v="2"/>
    <n v="3.1"/>
    <x v="13"/>
    <x v="0"/>
    <x v="107"/>
    <x v="107"/>
    <x v="0"/>
  </r>
  <r>
    <x v="108"/>
    <x v="2"/>
    <n v="2.4"/>
    <x v="17"/>
    <x v="3"/>
    <x v="108"/>
    <x v="108"/>
    <x v="1"/>
  </r>
  <r>
    <x v="109"/>
    <x v="2"/>
    <n v="4.8"/>
    <x v="45"/>
    <x v="2"/>
    <x v="109"/>
    <x v="109"/>
    <x v="7"/>
  </r>
  <r>
    <x v="110"/>
    <x v="2"/>
    <n v="2.4"/>
    <x v="8"/>
    <x v="3"/>
    <x v="110"/>
    <x v="110"/>
    <x v="1"/>
  </r>
  <r>
    <x v="111"/>
    <x v="2"/>
    <n v="4"/>
    <x v="16"/>
    <x v="3"/>
    <x v="111"/>
    <x v="111"/>
    <x v="4"/>
  </r>
  <r>
    <x v="112"/>
    <x v="2"/>
    <n v="0.9"/>
    <x v="0"/>
    <x v="2"/>
    <x v="112"/>
    <x v="112"/>
    <x v="3"/>
  </r>
  <r>
    <x v="113"/>
    <x v="2"/>
    <n v="3.7"/>
    <x v="26"/>
    <x v="2"/>
    <x v="113"/>
    <x v="113"/>
    <x v="0"/>
  </r>
  <r>
    <x v="114"/>
    <x v="2"/>
    <n v="0.1"/>
    <x v="16"/>
    <x v="3"/>
    <x v="114"/>
    <x v="114"/>
    <x v="5"/>
  </r>
  <r>
    <x v="115"/>
    <x v="2"/>
    <n v="3.4"/>
    <x v="15"/>
    <x v="1"/>
    <x v="115"/>
    <x v="115"/>
    <x v="8"/>
  </r>
  <r>
    <x v="116"/>
    <x v="2"/>
    <n v="1.2"/>
    <x v="25"/>
    <x v="3"/>
    <x v="116"/>
    <x v="116"/>
    <x v="6"/>
  </r>
  <r>
    <x v="117"/>
    <x v="2"/>
    <n v="3.4"/>
    <x v="16"/>
    <x v="3"/>
    <x v="117"/>
    <x v="117"/>
    <x v="1"/>
  </r>
  <r>
    <x v="118"/>
    <x v="2"/>
    <n v="0.8"/>
    <x v="13"/>
    <x v="3"/>
    <x v="118"/>
    <x v="118"/>
    <x v="3"/>
  </r>
  <r>
    <x v="119"/>
    <x v="2"/>
    <n v="2.2000000000000002"/>
    <x v="1"/>
    <x v="1"/>
    <x v="119"/>
    <x v="119"/>
    <x v="1"/>
  </r>
  <r>
    <x v="120"/>
    <x v="2"/>
    <n v="2.8"/>
    <x v="38"/>
    <x v="1"/>
    <x v="120"/>
    <x v="120"/>
    <x v="0"/>
  </r>
  <r>
    <x v="121"/>
    <x v="2"/>
    <n v="4.2"/>
    <x v="3"/>
    <x v="0"/>
    <x v="121"/>
    <x v="121"/>
    <x v="4"/>
  </r>
  <r>
    <x v="122"/>
    <x v="2"/>
    <n v="4"/>
    <x v="42"/>
    <x v="1"/>
    <x v="122"/>
    <x v="122"/>
    <x v="7"/>
  </r>
  <r>
    <x v="123"/>
    <x v="2"/>
    <n v="3.8"/>
    <x v="18"/>
    <x v="1"/>
    <x v="123"/>
    <x v="123"/>
    <x v="1"/>
  </r>
  <r>
    <x v="124"/>
    <x v="2"/>
    <n v="0.6"/>
    <x v="30"/>
    <x v="3"/>
    <x v="124"/>
    <x v="124"/>
    <x v="6"/>
  </r>
  <r>
    <x v="125"/>
    <x v="2"/>
    <n v="4.8"/>
    <x v="17"/>
    <x v="1"/>
    <x v="125"/>
    <x v="125"/>
    <x v="4"/>
  </r>
  <r>
    <x v="126"/>
    <x v="2"/>
    <n v="2.9"/>
    <x v="45"/>
    <x v="1"/>
    <x v="126"/>
    <x v="126"/>
    <x v="8"/>
  </r>
  <r>
    <x v="127"/>
    <x v="2"/>
    <n v="1.8"/>
    <x v="2"/>
    <x v="1"/>
    <x v="127"/>
    <x v="127"/>
    <x v="3"/>
  </r>
  <r>
    <x v="128"/>
    <x v="2"/>
    <n v="2.9"/>
    <x v="1"/>
    <x v="1"/>
    <x v="128"/>
    <x v="128"/>
    <x v="1"/>
  </r>
  <r>
    <x v="129"/>
    <x v="2"/>
    <n v="3"/>
    <x v="19"/>
    <x v="1"/>
    <x v="129"/>
    <x v="129"/>
    <x v="8"/>
  </r>
  <r>
    <x v="130"/>
    <x v="2"/>
    <n v="3.2"/>
    <x v="20"/>
    <x v="1"/>
    <x v="130"/>
    <x v="130"/>
    <x v="0"/>
  </r>
  <r>
    <x v="131"/>
    <x v="2"/>
    <n v="3.1"/>
    <x v="30"/>
    <x v="1"/>
    <x v="131"/>
    <x v="131"/>
    <x v="8"/>
  </r>
  <r>
    <x v="132"/>
    <x v="2"/>
    <n v="0.4"/>
    <x v="38"/>
    <x v="1"/>
    <x v="132"/>
    <x v="132"/>
    <x v="3"/>
  </r>
  <r>
    <x v="133"/>
    <x v="2"/>
    <n v="2.2999999999999998"/>
    <x v="28"/>
    <x v="1"/>
    <x v="133"/>
    <x v="133"/>
    <x v="1"/>
  </r>
  <r>
    <x v="134"/>
    <x v="2"/>
    <n v="4.0999999999999996"/>
    <x v="11"/>
    <x v="1"/>
    <x v="134"/>
    <x v="134"/>
    <x v="2"/>
  </r>
  <r>
    <x v="135"/>
    <x v="2"/>
    <n v="4.7"/>
    <x v="25"/>
    <x v="2"/>
    <x v="135"/>
    <x v="135"/>
    <x v="7"/>
  </r>
  <r>
    <x v="136"/>
    <x v="2"/>
    <n v="4.4000000000000004"/>
    <x v="14"/>
    <x v="2"/>
    <x v="136"/>
    <x v="136"/>
    <x v="4"/>
  </r>
  <r>
    <x v="137"/>
    <x v="2"/>
    <n v="0.3"/>
    <x v="10"/>
    <x v="2"/>
    <x v="137"/>
    <x v="137"/>
    <x v="3"/>
  </r>
  <r>
    <x v="138"/>
    <x v="2"/>
    <n v="0.5"/>
    <x v="41"/>
    <x v="2"/>
    <x v="138"/>
    <x v="138"/>
    <x v="5"/>
  </r>
  <r>
    <x v="139"/>
    <x v="2"/>
    <n v="2.6"/>
    <x v="25"/>
    <x v="2"/>
    <x v="139"/>
    <x v="139"/>
    <x v="8"/>
  </r>
  <r>
    <x v="140"/>
    <x v="2"/>
    <n v="2"/>
    <x v="10"/>
    <x v="2"/>
    <x v="140"/>
    <x v="140"/>
    <x v="0"/>
  </r>
  <r>
    <x v="141"/>
    <x v="2"/>
    <n v="3.4"/>
    <x v="22"/>
    <x v="2"/>
    <x v="141"/>
    <x v="141"/>
    <x v="0"/>
  </r>
  <r>
    <x v="142"/>
    <x v="2"/>
    <n v="3.7"/>
    <x v="35"/>
    <x v="2"/>
    <x v="142"/>
    <x v="142"/>
    <x v="0"/>
  </r>
  <r>
    <x v="143"/>
    <x v="2"/>
    <n v="2.9"/>
    <x v="35"/>
    <x v="2"/>
    <x v="143"/>
    <x v="143"/>
    <x v="0"/>
  </r>
  <r>
    <x v="144"/>
    <x v="2"/>
    <n v="2.7"/>
    <x v="14"/>
    <x v="2"/>
    <x v="144"/>
    <x v="144"/>
    <x v="1"/>
  </r>
  <r>
    <x v="145"/>
    <x v="2"/>
    <n v="2.2999999999999998"/>
    <x v="1"/>
    <x v="2"/>
    <x v="145"/>
    <x v="145"/>
    <x v="1"/>
  </r>
  <r>
    <x v="146"/>
    <x v="2"/>
    <n v="1.3"/>
    <x v="33"/>
    <x v="2"/>
    <x v="146"/>
    <x v="146"/>
    <x v="5"/>
  </r>
  <r>
    <x v="147"/>
    <x v="2"/>
    <n v="3.1"/>
    <x v="6"/>
    <x v="1"/>
    <x v="147"/>
    <x v="147"/>
    <x v="1"/>
  </r>
  <r>
    <x v="148"/>
    <x v="2"/>
    <n v="3.6"/>
    <x v="0"/>
    <x v="1"/>
    <x v="148"/>
    <x v="148"/>
    <x v="0"/>
  </r>
  <r>
    <x v="149"/>
    <x v="2"/>
    <n v="2.6"/>
    <x v="27"/>
    <x v="1"/>
    <x v="149"/>
    <x v="149"/>
    <x v="8"/>
  </r>
  <r>
    <x v="150"/>
    <x v="2"/>
    <n v="3.1"/>
    <x v="41"/>
    <x v="0"/>
    <x v="150"/>
    <x v="150"/>
    <x v="1"/>
  </r>
  <r>
    <x v="151"/>
    <x v="2"/>
    <n v="2.2000000000000002"/>
    <x v="11"/>
    <x v="0"/>
    <x v="151"/>
    <x v="151"/>
    <x v="0"/>
  </r>
  <r>
    <x v="152"/>
    <x v="2"/>
    <n v="1"/>
    <x v="5"/>
    <x v="1"/>
    <x v="152"/>
    <x v="152"/>
    <x v="5"/>
  </r>
  <r>
    <x v="153"/>
    <x v="2"/>
    <n v="2.4"/>
    <x v="42"/>
    <x v="1"/>
    <x v="153"/>
    <x v="153"/>
    <x v="8"/>
  </r>
  <r>
    <x v="154"/>
    <x v="2"/>
    <n v="4.2"/>
    <x v="30"/>
    <x v="2"/>
    <x v="154"/>
    <x v="154"/>
    <x v="7"/>
  </r>
  <r>
    <x v="155"/>
    <x v="2"/>
    <n v="1.4"/>
    <x v="24"/>
    <x v="1"/>
    <x v="155"/>
    <x v="155"/>
    <x v="6"/>
  </r>
  <r>
    <x v="156"/>
    <x v="2"/>
    <n v="1.2"/>
    <x v="30"/>
    <x v="1"/>
    <x v="156"/>
    <x v="156"/>
    <x v="6"/>
  </r>
  <r>
    <x v="157"/>
    <x v="2"/>
    <n v="2.6"/>
    <x v="19"/>
    <x v="2"/>
    <x v="157"/>
    <x v="157"/>
    <x v="8"/>
  </r>
  <r>
    <x v="158"/>
    <x v="2"/>
    <n v="2.1"/>
    <x v="19"/>
    <x v="2"/>
    <x v="158"/>
    <x v="158"/>
    <x v="8"/>
  </r>
  <r>
    <x v="159"/>
    <x v="2"/>
    <n v="1.9"/>
    <x v="43"/>
    <x v="2"/>
    <x v="159"/>
    <x v="159"/>
    <x v="6"/>
  </r>
  <r>
    <x v="160"/>
    <x v="2"/>
    <n v="4.5999999999999996"/>
    <x v="23"/>
    <x v="2"/>
    <x v="160"/>
    <x v="160"/>
    <x v="2"/>
  </r>
  <r>
    <x v="161"/>
    <x v="2"/>
    <n v="1.8"/>
    <x v="22"/>
    <x v="1"/>
    <x v="161"/>
    <x v="161"/>
    <x v="3"/>
  </r>
  <r>
    <x v="162"/>
    <x v="2"/>
    <n v="3"/>
    <x v="36"/>
    <x v="1"/>
    <x v="162"/>
    <x v="162"/>
    <x v="0"/>
  </r>
  <r>
    <x v="163"/>
    <x v="2"/>
    <n v="0.7"/>
    <x v="9"/>
    <x v="1"/>
    <x v="163"/>
    <x v="163"/>
    <x v="3"/>
  </r>
  <r>
    <x v="164"/>
    <x v="2"/>
    <n v="3"/>
    <x v="18"/>
    <x v="2"/>
    <x v="164"/>
    <x v="164"/>
    <x v="1"/>
  </r>
  <r>
    <x v="165"/>
    <x v="2"/>
    <n v="2.9"/>
    <x v="19"/>
    <x v="1"/>
    <x v="165"/>
    <x v="165"/>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Bubble" cacheId="1" applyNumberFormats="0" applyBorderFormats="0" applyFontFormats="0" applyPatternFormats="0" applyAlignmentFormats="0" applyWidthHeightFormats="1" dataCaption="Values" updatedVersion="8" minRefreshableVersion="3" showDrill="0" rowGrandTotals="0" colGrandTotals="0" itemPrintTitles="1" createdVersion="5" indent="0" compact="0" compactData="0" multipleFieldFilters="0" chartFormat="21">
  <location ref="X5:AA62" firstHeaderRow="0" firstDataRow="1" firstDataCol="2"/>
  <pivotFields count="8">
    <pivotField axis="axisRow" compact="0" outline="0" showAll="0" defaultSubtotal="0">
      <items count="166">
        <item x="11"/>
        <item x="86"/>
        <item x="12"/>
        <item x="73"/>
        <item x="74"/>
        <item x="15"/>
        <item x="17"/>
        <item x="66"/>
        <item x="19"/>
        <item x="20"/>
        <item x="24"/>
        <item x="25"/>
        <item x="26"/>
        <item x="27"/>
        <item x="93"/>
        <item x="28"/>
        <item x="29"/>
        <item x="23"/>
        <item x="161"/>
        <item x="30"/>
        <item x="156"/>
        <item x="31"/>
        <item x="32"/>
        <item x="22"/>
        <item x="33"/>
        <item x="34"/>
        <item x="94"/>
        <item x="95"/>
        <item x="96"/>
        <item x="97"/>
        <item x="91"/>
        <item x="92"/>
        <item x="2"/>
        <item x="35"/>
        <item x="36"/>
        <item x="21"/>
        <item x="37"/>
        <item x="38"/>
        <item x="39"/>
        <item x="40"/>
        <item x="41"/>
        <item x="84"/>
        <item x="98"/>
        <item x="83"/>
        <item x="42"/>
        <item x="99"/>
        <item x="100"/>
        <item x="101"/>
        <item x="44"/>
        <item x="102"/>
        <item x="46"/>
        <item x="48"/>
        <item x="162"/>
        <item x="67"/>
        <item x="103"/>
        <item x="104"/>
        <item x="10"/>
        <item x="45"/>
        <item x="105"/>
        <item x="106"/>
        <item x="107"/>
        <item x="49"/>
        <item x="108"/>
        <item x="109"/>
        <item x="85"/>
        <item x="110"/>
        <item x="76"/>
        <item x="111"/>
        <item x="50"/>
        <item x="88"/>
        <item x="51"/>
        <item x="87"/>
        <item x="112"/>
        <item x="113"/>
        <item x="114"/>
        <item x="52"/>
        <item x="115"/>
        <item x="163"/>
        <item x="53"/>
        <item x="116"/>
        <item x="118"/>
        <item x="55"/>
        <item x="57"/>
        <item x="43"/>
        <item x="77"/>
        <item x="59"/>
        <item x="13"/>
        <item x="119"/>
        <item x="120"/>
        <item x="14"/>
        <item x="75"/>
        <item x="78"/>
        <item x="16"/>
        <item x="60"/>
        <item x="121"/>
        <item x="122"/>
        <item x="18"/>
        <item x="61"/>
        <item x="123"/>
        <item x="79"/>
        <item x="68"/>
        <item x="89"/>
        <item x="158"/>
        <item x="62"/>
        <item x="124"/>
        <item x="69"/>
        <item x="125"/>
        <item x="56"/>
        <item x="164"/>
        <item x="58"/>
        <item x="90"/>
        <item x="159"/>
        <item x="160"/>
        <item x="63"/>
        <item x="1"/>
        <item x="54"/>
        <item x="70"/>
        <item x="5"/>
        <item x="81"/>
        <item x="71"/>
        <item x="126"/>
        <item x="80"/>
        <item x="6"/>
        <item x="7"/>
        <item x="8"/>
        <item x="9"/>
        <item x="129"/>
        <item x="72"/>
        <item x="157"/>
        <item x="82"/>
        <item x="127"/>
        <item x="128"/>
        <item x="3"/>
        <item x="4"/>
        <item x="134"/>
        <item x="149"/>
        <item x="135"/>
        <item x="151"/>
        <item x="64"/>
        <item x="136"/>
        <item x="150"/>
        <item x="152"/>
        <item x="139"/>
        <item x="140"/>
        <item x="141"/>
        <item x="142"/>
        <item x="143"/>
        <item x="144"/>
        <item x="165"/>
        <item x="138"/>
        <item x="0"/>
        <item x="137"/>
        <item x="153"/>
        <item x="145"/>
        <item x="146"/>
        <item x="154"/>
        <item x="117"/>
        <item x="130"/>
        <item x="148"/>
        <item x="65"/>
        <item x="47"/>
        <item x="131"/>
        <item x="132"/>
        <item x="133"/>
        <item x="155"/>
        <item x="147"/>
      </items>
      <extLst>
        <ext xmlns:x14="http://schemas.microsoft.com/office/spreadsheetml/2009/9/main" uri="{2946ED86-A175-432a-8AC1-64E0C546D7DE}">
          <x14:pivotField fillDownLabels="1"/>
        </ext>
      </extLst>
    </pivotField>
    <pivotField compact="0" outline="0" showAll="0" defaultSubtotal="0">
      <items count="3">
        <item h="1" x="2"/>
        <item x="1"/>
        <item h="1"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4"/>
        <item h="1" x="3"/>
        <item h="1" x="2"/>
        <item x="1"/>
      </items>
      <extLst>
        <ext xmlns:x14="http://schemas.microsoft.com/office/spreadsheetml/2009/9/main" uri="{2946ED86-A175-432a-8AC1-64E0C546D7DE}">
          <x14:pivotField fillDownLabels="1"/>
        </ext>
      </extLst>
    </pivotField>
    <pivotField compact="0" outline="0" showAll="0" defaultSubtotal="0">
      <items count="166">
        <item x="46"/>
        <item x="5"/>
        <item x="88"/>
        <item x="95"/>
        <item x="53"/>
        <item x="50"/>
        <item x="83"/>
        <item x="20"/>
        <item x="51"/>
        <item x="33"/>
        <item x="108"/>
        <item x="76"/>
        <item x="119"/>
        <item x="65"/>
        <item x="159"/>
        <item x="37"/>
        <item x="112"/>
        <item x="62"/>
        <item x="24"/>
        <item x="12"/>
        <item x="100"/>
        <item x="139"/>
        <item x="92"/>
        <item x="43"/>
        <item x="116"/>
        <item x="137"/>
        <item x="94"/>
        <item x="63"/>
        <item x="10"/>
        <item x="58"/>
        <item x="117"/>
        <item x="120"/>
        <item x="44"/>
        <item x="138"/>
        <item x="17"/>
        <item x="110"/>
        <item x="97"/>
        <item x="16"/>
        <item x="144"/>
        <item x="125"/>
        <item x="122"/>
        <item x="19"/>
        <item x="22"/>
        <item x="96"/>
        <item x="21"/>
        <item x="57"/>
        <item x="157"/>
        <item x="115"/>
        <item x="149"/>
        <item x="55"/>
        <item x="150"/>
        <item x="80"/>
        <item x="14"/>
        <item x="146"/>
        <item x="64"/>
        <item x="75"/>
        <item x="52"/>
        <item x="25"/>
        <item x="136"/>
        <item x="133"/>
        <item x="35"/>
        <item x="6"/>
        <item x="77"/>
        <item x="153"/>
        <item x="82"/>
        <item x="158"/>
        <item x="59"/>
        <item x="90"/>
        <item x="40"/>
        <item x="121"/>
        <item x="11"/>
        <item x="142"/>
        <item x="7"/>
        <item x="118"/>
        <item x="104"/>
        <item x="163"/>
        <item x="78"/>
        <item x="145"/>
        <item x="131"/>
        <item x="69"/>
        <item x="89"/>
        <item x="47"/>
        <item x="79"/>
        <item x="68"/>
        <item x="127"/>
        <item x="130"/>
        <item x="152"/>
        <item x="134"/>
        <item x="28"/>
        <item x="15"/>
        <item x="141"/>
        <item x="106"/>
        <item x="2"/>
        <item x="3"/>
        <item x="8"/>
        <item x="32"/>
        <item x="66"/>
        <item x="30"/>
        <item x="135"/>
        <item x="4"/>
        <item x="162"/>
        <item x="114"/>
        <item x="9"/>
        <item x="161"/>
        <item x="31"/>
        <item x="27"/>
        <item x="26"/>
        <item x="103"/>
        <item x="73"/>
        <item x="39"/>
        <item x="140"/>
        <item x="23"/>
        <item x="143"/>
        <item x="36"/>
        <item x="93"/>
        <item x="86"/>
        <item x="165"/>
        <item x="45"/>
        <item x="74"/>
        <item x="91"/>
        <item x="124"/>
        <item x="81"/>
        <item x="151"/>
        <item x="42"/>
        <item x="61"/>
        <item x="84"/>
        <item x="29"/>
        <item x="60"/>
        <item x="54"/>
        <item x="0"/>
        <item x="129"/>
        <item x="156"/>
        <item x="87"/>
        <item x="111"/>
        <item x="99"/>
        <item x="155"/>
        <item x="105"/>
        <item x="13"/>
        <item x="128"/>
        <item x="132"/>
        <item x="113"/>
        <item x="41"/>
        <item x="18"/>
        <item x="154"/>
        <item x="72"/>
        <item x="126"/>
        <item x="85"/>
        <item x="38"/>
        <item x="70"/>
        <item x="164"/>
        <item x="109"/>
        <item x="160"/>
        <item x="56"/>
        <item x="107"/>
        <item x="98"/>
        <item x="34"/>
        <item x="67"/>
        <item x="48"/>
        <item x="147"/>
        <item x="148"/>
        <item x="71"/>
        <item x="102"/>
        <item x="101"/>
        <item x="49"/>
        <item x="1"/>
        <item x="123"/>
      </items>
      <extLst>
        <ext xmlns:x14="http://schemas.microsoft.com/office/spreadsheetml/2009/9/main" uri="{2946ED86-A175-432a-8AC1-64E0C546D7DE}">
          <x14:pivotField fillDownLabels="1"/>
        </ext>
      </extLst>
    </pivotField>
    <pivotField name="Name " axis="axisRow" compact="0" outline="0" showAll="0" defaultSubtotal="0">
      <items count="166">
        <item x="118"/>
        <item x="46"/>
        <item x="5"/>
        <item x="88"/>
        <item x="95"/>
        <item x="53"/>
        <item x="50"/>
        <item x="83"/>
        <item x="20"/>
        <item x="51"/>
        <item x="33"/>
        <item x="108"/>
        <item x="76"/>
        <item x="119"/>
        <item x="65"/>
        <item x="159"/>
        <item x="37"/>
        <item x="112"/>
        <item x="62"/>
        <item x="24"/>
        <item x="12"/>
        <item x="100"/>
        <item x="139"/>
        <item x="92"/>
        <item x="43"/>
        <item x="116"/>
        <item x="137"/>
        <item x="94"/>
        <item x="63"/>
        <item x="10"/>
        <item x="58"/>
        <item x="117"/>
        <item x="120"/>
        <item x="44"/>
        <item x="138"/>
        <item x="17"/>
        <item x="110"/>
        <item x="97"/>
        <item x="16"/>
        <item x="144"/>
        <item x="125"/>
        <item x="122"/>
        <item x="19"/>
        <item x="22"/>
        <item x="96"/>
        <item x="21"/>
        <item x="57"/>
        <item x="157"/>
        <item x="115"/>
        <item x="149"/>
        <item x="55"/>
        <item x="150"/>
        <item x="80"/>
        <item x="14"/>
        <item x="146"/>
        <item x="64"/>
        <item x="75"/>
        <item x="52"/>
        <item x="25"/>
        <item x="136"/>
        <item x="133"/>
        <item x="35"/>
        <item x="6"/>
        <item x="77"/>
        <item x="153"/>
        <item x="82"/>
        <item x="158"/>
        <item x="59"/>
        <item x="90"/>
        <item x="40"/>
        <item x="121"/>
        <item x="11"/>
        <item x="142"/>
        <item x="7"/>
        <item x="104"/>
        <item x="163"/>
        <item x="78"/>
        <item x="145"/>
        <item x="131"/>
        <item x="69"/>
        <item x="89"/>
        <item x="47"/>
        <item x="79"/>
        <item x="68"/>
        <item x="127"/>
        <item x="130"/>
        <item x="152"/>
        <item x="134"/>
        <item x="28"/>
        <item x="15"/>
        <item x="141"/>
        <item x="106"/>
        <item x="2"/>
        <item x="3"/>
        <item x="8"/>
        <item x="32"/>
        <item x="66"/>
        <item x="30"/>
        <item x="135"/>
        <item x="4"/>
        <item x="162"/>
        <item x="114"/>
        <item x="9"/>
        <item x="161"/>
        <item x="31"/>
        <item x="27"/>
        <item x="26"/>
        <item x="103"/>
        <item x="73"/>
        <item x="39"/>
        <item x="140"/>
        <item x="23"/>
        <item x="143"/>
        <item x="36"/>
        <item x="93"/>
        <item x="86"/>
        <item x="165"/>
        <item x="45"/>
        <item x="74"/>
        <item x="91"/>
        <item x="124"/>
        <item x="81"/>
        <item x="151"/>
        <item x="42"/>
        <item x="61"/>
        <item x="84"/>
        <item x="29"/>
        <item x="60"/>
        <item x="54"/>
        <item x="0"/>
        <item x="129"/>
        <item x="156"/>
        <item x="87"/>
        <item x="111"/>
        <item x="99"/>
        <item x="155"/>
        <item x="105"/>
        <item x="13"/>
        <item x="128"/>
        <item x="132"/>
        <item x="113"/>
        <item x="41"/>
        <item x="18"/>
        <item x="154"/>
        <item x="72"/>
        <item x="126"/>
        <item x="85"/>
        <item x="38"/>
        <item x="70"/>
        <item x="164"/>
        <item x="109"/>
        <item x="160"/>
        <item x="56"/>
        <item x="107"/>
        <item x="98"/>
        <item x="34"/>
        <item x="67"/>
        <item x="48"/>
        <item x="147"/>
        <item x="148"/>
        <item x="71"/>
        <item x="102"/>
        <item x="101"/>
        <item x="49"/>
        <item x="1"/>
        <item x="123"/>
      </items>
      <extLst>
        <ext xmlns:x14="http://schemas.microsoft.com/office/spreadsheetml/2009/9/main" uri="{2946ED86-A175-432a-8AC1-64E0C546D7DE}">
          <x14:pivotField fillDownLabels="1"/>
        </ext>
      </extLst>
    </pivotField>
    <pivotField compact="0" outline="0" showAll="0" defaultSubtotal="0">
      <items count="9">
        <item x="5"/>
        <item x="3"/>
        <item x="6"/>
        <item x="1"/>
        <item x="0"/>
        <item x="8"/>
        <item x="4"/>
        <item x="2"/>
        <item x="7"/>
      </items>
      <extLst>
        <ext xmlns:x14="http://schemas.microsoft.com/office/spreadsheetml/2009/9/main" uri="{2946ED86-A175-432a-8AC1-64E0C546D7DE}">
          <x14:pivotField fillDownLabels="1"/>
        </ext>
      </extLst>
    </pivotField>
  </pivotFields>
  <rowFields count="2">
    <field x="0"/>
    <field x="6"/>
  </rowFields>
  <rowItems count="57">
    <i>
      <x v="7"/>
      <x v="96"/>
    </i>
    <i>
      <x v="8"/>
      <x v="42"/>
    </i>
    <i>
      <x v="9"/>
      <x v="8"/>
    </i>
    <i>
      <x v="11"/>
      <x v="58"/>
    </i>
    <i>
      <x v="12"/>
      <x v="106"/>
    </i>
    <i>
      <x v="13"/>
      <x v="105"/>
    </i>
    <i>
      <x v="18"/>
      <x v="103"/>
    </i>
    <i>
      <x v="20"/>
      <x v="131"/>
    </i>
    <i>
      <x v="28"/>
      <x v="44"/>
    </i>
    <i>
      <x v="32"/>
      <x v="92"/>
    </i>
    <i>
      <x v="33"/>
      <x v="61"/>
    </i>
    <i>
      <x v="34"/>
      <x v="113"/>
    </i>
    <i>
      <x v="36"/>
      <x v="16"/>
    </i>
    <i>
      <x v="48"/>
      <x v="33"/>
    </i>
    <i>
      <x v="49"/>
      <x v="161"/>
    </i>
    <i>
      <x v="52"/>
      <x v="100"/>
    </i>
    <i>
      <x v="54"/>
      <x v="107"/>
    </i>
    <i>
      <x v="55"/>
      <x v="74"/>
    </i>
    <i>
      <x v="57"/>
      <x v="117"/>
    </i>
    <i>
      <x v="58"/>
      <x v="136"/>
    </i>
    <i>
      <x v="59"/>
      <x v="91"/>
    </i>
    <i>
      <x v="66"/>
      <x v="12"/>
    </i>
    <i>
      <x v="76"/>
      <x v="48"/>
    </i>
    <i>
      <x v="77"/>
      <x v="75"/>
    </i>
    <i>
      <x v="83"/>
      <x v="24"/>
    </i>
    <i>
      <x v="84"/>
      <x v="63"/>
    </i>
    <i>
      <x v="87"/>
      <x v="13"/>
    </i>
    <i>
      <x v="88"/>
      <x v="32"/>
    </i>
    <i>
      <x v="95"/>
      <x v="41"/>
    </i>
    <i>
      <x v="97"/>
      <x v="124"/>
    </i>
    <i>
      <x v="98"/>
      <x v="165"/>
    </i>
    <i>
      <x v="100"/>
      <x v="83"/>
    </i>
    <i>
      <x v="105"/>
      <x v="79"/>
    </i>
    <i>
      <x v="106"/>
      <x v="40"/>
    </i>
    <i>
      <x v="114"/>
      <x v="164"/>
    </i>
    <i>
      <x v="116"/>
      <x v="148"/>
    </i>
    <i>
      <x v="118"/>
      <x v="121"/>
    </i>
    <i>
      <x v="120"/>
      <x v="145"/>
    </i>
    <i>
      <x v="121"/>
      <x v="52"/>
    </i>
    <i>
      <x v="126"/>
      <x v="130"/>
    </i>
    <i>
      <x v="130"/>
      <x v="84"/>
    </i>
    <i>
      <x v="131"/>
      <x v="138"/>
    </i>
    <i>
      <x v="134"/>
      <x v="87"/>
    </i>
    <i>
      <x v="135"/>
      <x v="49"/>
    </i>
    <i>
      <x v="138"/>
      <x v="55"/>
    </i>
    <i>
      <x v="141"/>
      <x v="86"/>
    </i>
    <i>
      <x v="148"/>
      <x v="116"/>
    </i>
    <i>
      <x v="152"/>
      <x v="64"/>
    </i>
    <i>
      <x v="157"/>
      <x v="85"/>
    </i>
    <i>
      <x v="158"/>
      <x v="159"/>
    </i>
    <i>
      <x v="159"/>
      <x v="14"/>
    </i>
    <i>
      <x v="160"/>
      <x v="81"/>
    </i>
    <i>
      <x v="161"/>
      <x v="78"/>
    </i>
    <i>
      <x v="162"/>
      <x v="139"/>
    </i>
    <i>
      <x v="163"/>
      <x v="60"/>
    </i>
    <i>
      <x v="164"/>
      <x v="135"/>
    </i>
    <i>
      <x v="165"/>
      <x v="158"/>
    </i>
  </rowItems>
  <colFields count="1">
    <field x="-2"/>
  </colFields>
  <colItems count="2">
    <i>
      <x/>
    </i>
    <i i="1">
      <x v="1"/>
    </i>
  </colItems>
  <dataFields count="2">
    <dataField name="Performance" fld="3" subtotal="average" baseField="0" baseItem="135257968" numFmtId="164"/>
    <dataField name="Potential " fld="2" subtotal="average" baseField="5" baseItem="70" numFmtId="164"/>
  </dataFields>
  <formats count="174">
    <format dxfId="184">
      <pivotArea outline="0" collapsedLevelsAreSubtotals="1" fieldPosition="0"/>
    </format>
    <format dxfId="183">
      <pivotArea dataOnly="0" labelOnly="1" outline="0" fieldPosition="0">
        <references count="1">
          <reference field="4294967294" count="2">
            <x v="0"/>
            <x v="1"/>
          </reference>
        </references>
      </pivotArea>
    </format>
    <format dxfId="182">
      <pivotArea field="6" type="button" dataOnly="0" labelOnly="1" outline="0" axis="axisRow" fieldPosition="1"/>
    </format>
    <format dxfId="181">
      <pivotArea dataOnly="0" labelOnly="1" outline="0" fieldPosition="0">
        <references count="2">
          <reference field="0" count="1" selected="0">
            <x v="0"/>
          </reference>
          <reference field="6" count="1">
            <x v="71"/>
          </reference>
        </references>
      </pivotArea>
    </format>
    <format dxfId="180">
      <pivotArea dataOnly="0" labelOnly="1" outline="0" fieldPosition="0">
        <references count="2">
          <reference field="0" count="1" selected="0">
            <x v="1"/>
          </reference>
          <reference field="6" count="1">
            <x v="115"/>
          </reference>
        </references>
      </pivotArea>
    </format>
    <format dxfId="179">
      <pivotArea dataOnly="0" labelOnly="1" outline="0" fieldPosition="0">
        <references count="2">
          <reference field="0" count="1" selected="0">
            <x v="2"/>
          </reference>
          <reference field="6" count="1">
            <x v="20"/>
          </reference>
        </references>
      </pivotArea>
    </format>
    <format dxfId="178">
      <pivotArea dataOnly="0" labelOnly="1" outline="0" fieldPosition="0">
        <references count="2">
          <reference field="0" count="1" selected="0">
            <x v="3"/>
          </reference>
          <reference field="6" count="1">
            <x v="108"/>
          </reference>
        </references>
      </pivotArea>
    </format>
    <format dxfId="177">
      <pivotArea dataOnly="0" labelOnly="1" outline="0" fieldPosition="0">
        <references count="2">
          <reference field="0" count="1" selected="0">
            <x v="4"/>
          </reference>
          <reference field="6" count="1">
            <x v="118"/>
          </reference>
        </references>
      </pivotArea>
    </format>
    <format dxfId="176">
      <pivotArea dataOnly="0" labelOnly="1" outline="0" fieldPosition="0">
        <references count="2">
          <reference field="0" count="1" selected="0">
            <x v="5"/>
          </reference>
          <reference field="6" count="1">
            <x v="89"/>
          </reference>
        </references>
      </pivotArea>
    </format>
    <format dxfId="175">
      <pivotArea dataOnly="0" labelOnly="1" outline="0" fieldPosition="0">
        <references count="2">
          <reference field="0" count="1" selected="0">
            <x v="6"/>
          </reference>
          <reference field="6" count="1">
            <x v="35"/>
          </reference>
        </references>
      </pivotArea>
    </format>
    <format dxfId="174">
      <pivotArea dataOnly="0" labelOnly="1" outline="0" fieldPosition="0">
        <references count="2">
          <reference field="0" count="1" selected="0">
            <x v="7"/>
          </reference>
          <reference field="6" count="1">
            <x v="96"/>
          </reference>
        </references>
      </pivotArea>
    </format>
    <format dxfId="173">
      <pivotArea dataOnly="0" labelOnly="1" outline="0" fieldPosition="0">
        <references count="2">
          <reference field="0" count="1" selected="0">
            <x v="8"/>
          </reference>
          <reference field="6" count="1">
            <x v="42"/>
          </reference>
        </references>
      </pivotArea>
    </format>
    <format dxfId="172">
      <pivotArea dataOnly="0" labelOnly="1" outline="0" fieldPosition="0">
        <references count="2">
          <reference field="0" count="1" selected="0">
            <x v="9"/>
          </reference>
          <reference field="6" count="1">
            <x v="8"/>
          </reference>
        </references>
      </pivotArea>
    </format>
    <format dxfId="171">
      <pivotArea dataOnly="0" labelOnly="1" outline="0" fieldPosition="0">
        <references count="2">
          <reference field="0" count="1" selected="0">
            <x v="10"/>
          </reference>
          <reference field="6" count="1">
            <x v="19"/>
          </reference>
        </references>
      </pivotArea>
    </format>
    <format dxfId="170">
      <pivotArea dataOnly="0" labelOnly="1" outline="0" fieldPosition="0">
        <references count="2">
          <reference field="0" count="1" selected="0">
            <x v="11"/>
          </reference>
          <reference field="6" count="1">
            <x v="58"/>
          </reference>
        </references>
      </pivotArea>
    </format>
    <format dxfId="169">
      <pivotArea dataOnly="0" labelOnly="1" outline="0" fieldPosition="0">
        <references count="2">
          <reference field="0" count="1" selected="0">
            <x v="12"/>
          </reference>
          <reference field="6" count="1">
            <x v="106"/>
          </reference>
        </references>
      </pivotArea>
    </format>
    <format dxfId="168">
      <pivotArea dataOnly="0" labelOnly="1" outline="0" fieldPosition="0">
        <references count="2">
          <reference field="0" count="1" selected="0">
            <x v="13"/>
          </reference>
          <reference field="6" count="1">
            <x v="105"/>
          </reference>
        </references>
      </pivotArea>
    </format>
    <format dxfId="167">
      <pivotArea dataOnly="0" labelOnly="1" outline="0" fieldPosition="0">
        <references count="2">
          <reference field="0" count="1" selected="0">
            <x v="14"/>
          </reference>
          <reference field="6" count="1">
            <x v="114"/>
          </reference>
        </references>
      </pivotArea>
    </format>
    <format dxfId="166">
      <pivotArea dataOnly="0" labelOnly="1" outline="0" fieldPosition="0">
        <references count="2">
          <reference field="0" count="1" selected="0">
            <x v="15"/>
          </reference>
          <reference field="6" count="1">
            <x v="88"/>
          </reference>
        </references>
      </pivotArea>
    </format>
    <format dxfId="165">
      <pivotArea dataOnly="0" labelOnly="1" outline="0" fieldPosition="0">
        <references count="2">
          <reference field="0" count="1" selected="0">
            <x v="16"/>
          </reference>
          <reference field="6" count="1">
            <x v="126"/>
          </reference>
        </references>
      </pivotArea>
    </format>
    <format dxfId="164">
      <pivotArea dataOnly="0" labelOnly="1" outline="0" fieldPosition="0">
        <references count="2">
          <reference field="0" count="1" selected="0">
            <x v="17"/>
          </reference>
          <reference field="6" count="1">
            <x v="111"/>
          </reference>
        </references>
      </pivotArea>
    </format>
    <format dxfId="163">
      <pivotArea dataOnly="0" labelOnly="1" outline="0" fieldPosition="0">
        <references count="2">
          <reference field="0" count="1" selected="0">
            <x v="18"/>
          </reference>
          <reference field="6" count="1">
            <x v="103"/>
          </reference>
        </references>
      </pivotArea>
    </format>
    <format dxfId="162">
      <pivotArea dataOnly="0" labelOnly="1" outline="0" fieldPosition="0">
        <references count="2">
          <reference field="0" count="1" selected="0">
            <x v="19"/>
          </reference>
          <reference field="6" count="1">
            <x v="97"/>
          </reference>
        </references>
      </pivotArea>
    </format>
    <format dxfId="161">
      <pivotArea dataOnly="0" labelOnly="1" outline="0" fieldPosition="0">
        <references count="2">
          <reference field="0" count="1" selected="0">
            <x v="20"/>
          </reference>
          <reference field="6" count="1">
            <x v="131"/>
          </reference>
        </references>
      </pivotArea>
    </format>
    <format dxfId="160">
      <pivotArea dataOnly="0" labelOnly="1" outline="0" fieldPosition="0">
        <references count="2">
          <reference field="0" count="1" selected="0">
            <x v="21"/>
          </reference>
          <reference field="6" count="1">
            <x v="104"/>
          </reference>
        </references>
      </pivotArea>
    </format>
    <format dxfId="159">
      <pivotArea dataOnly="0" labelOnly="1" outline="0" fieldPosition="0">
        <references count="2">
          <reference field="0" count="1" selected="0">
            <x v="22"/>
          </reference>
          <reference field="6" count="1">
            <x v="95"/>
          </reference>
        </references>
      </pivotArea>
    </format>
    <format dxfId="158">
      <pivotArea dataOnly="0" labelOnly="1" outline="0" fieldPosition="0">
        <references count="2">
          <reference field="0" count="1" selected="0">
            <x v="23"/>
          </reference>
          <reference field="6" count="1">
            <x v="43"/>
          </reference>
        </references>
      </pivotArea>
    </format>
    <format dxfId="157">
      <pivotArea dataOnly="0" labelOnly="1" outline="0" fieldPosition="0">
        <references count="2">
          <reference field="0" count="1" selected="0">
            <x v="24"/>
          </reference>
          <reference field="6" count="1">
            <x v="10"/>
          </reference>
        </references>
      </pivotArea>
    </format>
    <format dxfId="156">
      <pivotArea dataOnly="0" labelOnly="1" outline="0" fieldPosition="0">
        <references count="2">
          <reference field="0" count="1" selected="0">
            <x v="25"/>
          </reference>
          <reference field="6" count="1">
            <x v="155"/>
          </reference>
        </references>
      </pivotArea>
    </format>
    <format dxfId="155">
      <pivotArea dataOnly="0" labelOnly="1" outline="0" fieldPosition="0">
        <references count="2">
          <reference field="0" count="1" selected="0">
            <x v="26"/>
          </reference>
          <reference field="6" count="1">
            <x v="27"/>
          </reference>
        </references>
      </pivotArea>
    </format>
    <format dxfId="154">
      <pivotArea dataOnly="0" labelOnly="1" outline="0" fieldPosition="0">
        <references count="2">
          <reference field="0" count="1" selected="0">
            <x v="27"/>
          </reference>
          <reference field="6" count="1">
            <x v="4"/>
          </reference>
        </references>
      </pivotArea>
    </format>
    <format dxfId="153">
      <pivotArea dataOnly="0" labelOnly="1" outline="0" fieldPosition="0">
        <references count="2">
          <reference field="0" count="1" selected="0">
            <x v="28"/>
          </reference>
          <reference field="6" count="1">
            <x v="44"/>
          </reference>
        </references>
      </pivotArea>
    </format>
    <format dxfId="152">
      <pivotArea dataOnly="0" labelOnly="1" outline="0" fieldPosition="0">
        <references count="2">
          <reference field="0" count="1" selected="0">
            <x v="29"/>
          </reference>
          <reference field="6" count="1">
            <x v="37"/>
          </reference>
        </references>
      </pivotArea>
    </format>
    <format dxfId="151">
      <pivotArea dataOnly="0" labelOnly="1" outline="0" fieldPosition="0">
        <references count="2">
          <reference field="0" count="1" selected="0">
            <x v="30"/>
          </reference>
          <reference field="6" count="1">
            <x v="119"/>
          </reference>
        </references>
      </pivotArea>
    </format>
    <format dxfId="150">
      <pivotArea dataOnly="0" labelOnly="1" outline="0" fieldPosition="0">
        <references count="2">
          <reference field="0" count="1" selected="0">
            <x v="31"/>
          </reference>
          <reference field="6" count="1">
            <x v="23"/>
          </reference>
        </references>
      </pivotArea>
    </format>
    <format dxfId="149">
      <pivotArea dataOnly="0" labelOnly="1" outline="0" fieldPosition="0">
        <references count="2">
          <reference field="0" count="1" selected="0">
            <x v="32"/>
          </reference>
          <reference field="6" count="1">
            <x v="92"/>
          </reference>
        </references>
      </pivotArea>
    </format>
    <format dxfId="148">
      <pivotArea dataOnly="0" labelOnly="1" outline="0" fieldPosition="0">
        <references count="2">
          <reference field="0" count="1" selected="0">
            <x v="33"/>
          </reference>
          <reference field="6" count="1">
            <x v="61"/>
          </reference>
        </references>
      </pivotArea>
    </format>
    <format dxfId="147">
      <pivotArea dataOnly="0" labelOnly="1" outline="0" fieldPosition="0">
        <references count="2">
          <reference field="0" count="1" selected="0">
            <x v="34"/>
          </reference>
          <reference field="6" count="1">
            <x v="113"/>
          </reference>
        </references>
      </pivotArea>
    </format>
    <format dxfId="146">
      <pivotArea dataOnly="0" labelOnly="1" outline="0" fieldPosition="0">
        <references count="2">
          <reference field="0" count="1" selected="0">
            <x v="35"/>
          </reference>
          <reference field="6" count="1">
            <x v="45"/>
          </reference>
        </references>
      </pivotArea>
    </format>
    <format dxfId="145">
      <pivotArea dataOnly="0" labelOnly="1" outline="0" fieldPosition="0">
        <references count="2">
          <reference field="0" count="1" selected="0">
            <x v="36"/>
          </reference>
          <reference field="6" count="1">
            <x v="16"/>
          </reference>
        </references>
      </pivotArea>
    </format>
    <format dxfId="144">
      <pivotArea dataOnly="0" labelOnly="1" outline="0" fieldPosition="0">
        <references count="2">
          <reference field="0" count="1" selected="0">
            <x v="37"/>
          </reference>
          <reference field="6" count="1">
            <x v="147"/>
          </reference>
        </references>
      </pivotArea>
    </format>
    <format dxfId="143">
      <pivotArea dataOnly="0" labelOnly="1" outline="0" fieldPosition="0">
        <references count="2">
          <reference field="0" count="1" selected="0">
            <x v="38"/>
          </reference>
          <reference field="6" count="1">
            <x v="109"/>
          </reference>
        </references>
      </pivotArea>
    </format>
    <format dxfId="142">
      <pivotArea dataOnly="0" labelOnly="1" outline="0" fieldPosition="0">
        <references count="2">
          <reference field="0" count="1" selected="0">
            <x v="39"/>
          </reference>
          <reference field="6" count="1">
            <x v="69"/>
          </reference>
        </references>
      </pivotArea>
    </format>
    <format dxfId="141">
      <pivotArea dataOnly="0" labelOnly="1" outline="0" fieldPosition="0">
        <references count="2">
          <reference field="0" count="1" selected="0">
            <x v="40"/>
          </reference>
          <reference field="6" count="1">
            <x v="141"/>
          </reference>
        </references>
      </pivotArea>
    </format>
    <format dxfId="140">
      <pivotArea dataOnly="0" labelOnly="1" outline="0" fieldPosition="0">
        <references count="2">
          <reference field="0" count="1" selected="0">
            <x v="41"/>
          </reference>
          <reference field="6" count="1">
            <x v="125"/>
          </reference>
        </references>
      </pivotArea>
    </format>
    <format dxfId="139">
      <pivotArea dataOnly="0" labelOnly="1" outline="0" fieldPosition="0">
        <references count="2">
          <reference field="0" count="1" selected="0">
            <x v="42"/>
          </reference>
          <reference field="6" count="1">
            <x v="154"/>
          </reference>
        </references>
      </pivotArea>
    </format>
    <format dxfId="138">
      <pivotArea dataOnly="0" labelOnly="1" outline="0" fieldPosition="0">
        <references count="2">
          <reference field="0" count="1" selected="0">
            <x v="43"/>
          </reference>
          <reference field="6" count="1">
            <x v="7"/>
          </reference>
        </references>
      </pivotArea>
    </format>
    <format dxfId="137">
      <pivotArea dataOnly="0" labelOnly="1" outline="0" fieldPosition="0">
        <references count="2">
          <reference field="0" count="1" selected="0">
            <x v="44"/>
          </reference>
          <reference field="6" count="1">
            <x v="123"/>
          </reference>
        </references>
      </pivotArea>
    </format>
    <format dxfId="136">
      <pivotArea dataOnly="0" labelOnly="1" outline="0" fieldPosition="0">
        <references count="2">
          <reference field="0" count="1" selected="0">
            <x v="45"/>
          </reference>
          <reference field="6" count="1">
            <x v="134"/>
          </reference>
        </references>
      </pivotArea>
    </format>
    <format dxfId="135">
      <pivotArea dataOnly="0" labelOnly="1" outline="0" fieldPosition="0">
        <references count="2">
          <reference field="0" count="1" selected="0">
            <x v="46"/>
          </reference>
          <reference field="6" count="1">
            <x v="21"/>
          </reference>
        </references>
      </pivotArea>
    </format>
    <format dxfId="134">
      <pivotArea dataOnly="0" labelOnly="1" outline="0" fieldPosition="0">
        <references count="2">
          <reference field="0" count="1" selected="0">
            <x v="47"/>
          </reference>
          <reference field="6" count="1">
            <x v="162"/>
          </reference>
        </references>
      </pivotArea>
    </format>
    <format dxfId="133">
      <pivotArea dataOnly="0" labelOnly="1" outline="0" fieldPosition="0">
        <references count="2">
          <reference field="0" count="1" selected="0">
            <x v="48"/>
          </reference>
          <reference field="6" count="1">
            <x v="33"/>
          </reference>
        </references>
      </pivotArea>
    </format>
    <format dxfId="132">
      <pivotArea dataOnly="0" labelOnly="1" outline="0" fieldPosition="0">
        <references count="2">
          <reference field="0" count="1" selected="0">
            <x v="49"/>
          </reference>
          <reference field="6" count="1">
            <x v="161"/>
          </reference>
        </references>
      </pivotArea>
    </format>
    <format dxfId="131">
      <pivotArea dataOnly="0" labelOnly="1" outline="0" fieldPosition="0">
        <references count="2">
          <reference field="0" count="1" selected="0">
            <x v="50"/>
          </reference>
          <reference field="6" count="1">
            <x v="1"/>
          </reference>
        </references>
      </pivotArea>
    </format>
    <format dxfId="130">
      <pivotArea dataOnly="0" labelOnly="1" outline="0" fieldPosition="0">
        <references count="2">
          <reference field="0" count="1" selected="0">
            <x v="51"/>
          </reference>
          <reference field="6" count="1">
            <x v="157"/>
          </reference>
        </references>
      </pivotArea>
    </format>
    <format dxfId="129">
      <pivotArea dataOnly="0" labelOnly="1" outline="0" fieldPosition="0">
        <references count="2">
          <reference field="0" count="1" selected="0">
            <x v="52"/>
          </reference>
          <reference field="6" count="1">
            <x v="100"/>
          </reference>
        </references>
      </pivotArea>
    </format>
    <format dxfId="128">
      <pivotArea dataOnly="0" labelOnly="1" outline="0" fieldPosition="0">
        <references count="2">
          <reference field="0" count="1" selected="0">
            <x v="53"/>
          </reference>
          <reference field="6" count="1">
            <x v="156"/>
          </reference>
        </references>
      </pivotArea>
    </format>
    <format dxfId="127">
      <pivotArea dataOnly="0" labelOnly="1" outline="0" fieldPosition="0">
        <references count="2">
          <reference field="0" count="1" selected="0">
            <x v="54"/>
          </reference>
          <reference field="6" count="1">
            <x v="107"/>
          </reference>
        </references>
      </pivotArea>
    </format>
    <format dxfId="126">
      <pivotArea dataOnly="0" labelOnly="1" outline="0" fieldPosition="0">
        <references count="2">
          <reference field="0" count="1" selected="0">
            <x v="55"/>
          </reference>
          <reference field="6" count="1">
            <x v="74"/>
          </reference>
        </references>
      </pivotArea>
    </format>
    <format dxfId="125">
      <pivotArea dataOnly="0" labelOnly="1" outline="0" fieldPosition="0">
        <references count="2">
          <reference field="0" count="1" selected="0">
            <x v="56"/>
          </reference>
          <reference field="6" count="1">
            <x v="29"/>
          </reference>
        </references>
      </pivotArea>
    </format>
    <format dxfId="124">
      <pivotArea dataOnly="0" labelOnly="1" outline="0" fieldPosition="0">
        <references count="2">
          <reference field="0" count="1" selected="0">
            <x v="57"/>
          </reference>
          <reference field="6" count="1">
            <x v="117"/>
          </reference>
        </references>
      </pivotArea>
    </format>
    <format dxfId="123">
      <pivotArea dataOnly="0" labelOnly="1" outline="0" fieldPosition="0">
        <references count="2">
          <reference field="0" count="1" selected="0">
            <x v="58"/>
          </reference>
          <reference field="6" count="1">
            <x v="136"/>
          </reference>
        </references>
      </pivotArea>
    </format>
    <format dxfId="122">
      <pivotArea dataOnly="0" labelOnly="1" outline="0" fieldPosition="0">
        <references count="2">
          <reference field="0" count="1" selected="0">
            <x v="59"/>
          </reference>
          <reference field="6" count="1">
            <x v="91"/>
          </reference>
        </references>
      </pivotArea>
    </format>
    <format dxfId="121">
      <pivotArea dataOnly="0" labelOnly="1" outline="0" fieldPosition="0">
        <references count="2">
          <reference field="0" count="1" selected="0">
            <x v="60"/>
          </reference>
          <reference field="6" count="1">
            <x v="153"/>
          </reference>
        </references>
      </pivotArea>
    </format>
    <format dxfId="120">
      <pivotArea dataOnly="0" labelOnly="1" outline="0" fieldPosition="0">
        <references count="2">
          <reference field="0" count="1" selected="0">
            <x v="61"/>
          </reference>
          <reference field="6" count="1">
            <x v="163"/>
          </reference>
        </references>
      </pivotArea>
    </format>
    <format dxfId="119">
      <pivotArea dataOnly="0" labelOnly="1" outline="0" fieldPosition="0">
        <references count="2">
          <reference field="0" count="1" selected="0">
            <x v="62"/>
          </reference>
          <reference field="6" count="1">
            <x v="11"/>
          </reference>
        </references>
      </pivotArea>
    </format>
    <format dxfId="118">
      <pivotArea dataOnly="0" labelOnly="1" outline="0" fieldPosition="0">
        <references count="2">
          <reference field="0" count="1" selected="0">
            <x v="63"/>
          </reference>
          <reference field="6" count="1">
            <x v="150"/>
          </reference>
        </references>
      </pivotArea>
    </format>
    <format dxfId="117">
      <pivotArea dataOnly="0" labelOnly="1" outline="0" fieldPosition="0">
        <references count="2">
          <reference field="0" count="1" selected="0">
            <x v="64"/>
          </reference>
          <reference field="6" count="1">
            <x v="146"/>
          </reference>
        </references>
      </pivotArea>
    </format>
    <format dxfId="116">
      <pivotArea dataOnly="0" labelOnly="1" outline="0" fieldPosition="0">
        <references count="2">
          <reference field="0" count="1" selected="0">
            <x v="65"/>
          </reference>
          <reference field="6" count="1">
            <x v="36"/>
          </reference>
        </references>
      </pivotArea>
    </format>
    <format dxfId="115">
      <pivotArea dataOnly="0" labelOnly="1" outline="0" fieldPosition="0">
        <references count="2">
          <reference field="0" count="1" selected="0">
            <x v="66"/>
          </reference>
          <reference field="6" count="1">
            <x v="12"/>
          </reference>
        </references>
      </pivotArea>
    </format>
    <format dxfId="114">
      <pivotArea dataOnly="0" labelOnly="1" outline="0" fieldPosition="0">
        <references count="2">
          <reference field="0" count="1" selected="0">
            <x v="67"/>
          </reference>
          <reference field="6" count="1">
            <x v="133"/>
          </reference>
        </references>
      </pivotArea>
    </format>
    <format dxfId="113">
      <pivotArea dataOnly="0" labelOnly="1" outline="0" fieldPosition="0">
        <references count="2">
          <reference field="0" count="1" selected="0">
            <x v="68"/>
          </reference>
          <reference field="6" count="1">
            <x v="6"/>
          </reference>
        </references>
      </pivotArea>
    </format>
    <format dxfId="112">
      <pivotArea dataOnly="0" labelOnly="1" outline="0" fieldPosition="0">
        <references count="2">
          <reference field="0" count="1" selected="0">
            <x v="69"/>
          </reference>
          <reference field="6" count="1">
            <x v="3"/>
          </reference>
        </references>
      </pivotArea>
    </format>
    <format dxfId="111">
      <pivotArea dataOnly="0" labelOnly="1" outline="0" fieldPosition="0">
        <references count="2">
          <reference field="0" count="1" selected="0">
            <x v="70"/>
          </reference>
          <reference field="6" count="1">
            <x v="9"/>
          </reference>
        </references>
      </pivotArea>
    </format>
    <format dxfId="110">
      <pivotArea dataOnly="0" labelOnly="1" outline="0" fieldPosition="0">
        <references count="2">
          <reference field="0" count="1" selected="0">
            <x v="71"/>
          </reference>
          <reference field="6" count="1">
            <x v="132"/>
          </reference>
        </references>
      </pivotArea>
    </format>
    <format dxfId="109">
      <pivotArea dataOnly="0" labelOnly="1" outline="0" fieldPosition="0">
        <references count="2">
          <reference field="0" count="1" selected="0">
            <x v="72"/>
          </reference>
          <reference field="6" count="1">
            <x v="17"/>
          </reference>
        </references>
      </pivotArea>
    </format>
    <format dxfId="108">
      <pivotArea dataOnly="0" labelOnly="1" outline="0" fieldPosition="0">
        <references count="2">
          <reference field="0" count="1" selected="0">
            <x v="73"/>
          </reference>
          <reference field="6" count="1">
            <x v="140"/>
          </reference>
        </references>
      </pivotArea>
    </format>
    <format dxfId="107">
      <pivotArea dataOnly="0" labelOnly="1" outline="0" fieldPosition="0">
        <references count="2">
          <reference field="0" count="1" selected="0">
            <x v="74"/>
          </reference>
          <reference field="6" count="1">
            <x v="101"/>
          </reference>
        </references>
      </pivotArea>
    </format>
    <format dxfId="106">
      <pivotArea dataOnly="0" labelOnly="1" outline="0" fieldPosition="0">
        <references count="2">
          <reference field="0" count="1" selected="0">
            <x v="75"/>
          </reference>
          <reference field="6" count="1">
            <x v="57"/>
          </reference>
        </references>
      </pivotArea>
    </format>
    <format dxfId="105">
      <pivotArea dataOnly="0" labelOnly="1" outline="0" fieldPosition="0">
        <references count="2">
          <reference field="0" count="1" selected="0">
            <x v="76"/>
          </reference>
          <reference field="6" count="1">
            <x v="48"/>
          </reference>
        </references>
      </pivotArea>
    </format>
    <format dxfId="104">
      <pivotArea dataOnly="0" labelOnly="1" outline="0" fieldPosition="0">
        <references count="2">
          <reference field="0" count="1" selected="0">
            <x v="77"/>
          </reference>
          <reference field="6" count="1">
            <x v="75"/>
          </reference>
        </references>
      </pivotArea>
    </format>
    <format dxfId="103">
      <pivotArea dataOnly="0" labelOnly="1" outline="0" fieldPosition="0">
        <references count="2">
          <reference field="0" count="1" selected="0">
            <x v="78"/>
          </reference>
          <reference field="6" count="1">
            <x v="5"/>
          </reference>
        </references>
      </pivotArea>
    </format>
    <format dxfId="102">
      <pivotArea dataOnly="0" labelOnly="1" outline="0" fieldPosition="0">
        <references count="2">
          <reference field="0" count="1" selected="0">
            <x v="79"/>
          </reference>
          <reference field="6" count="1">
            <x v="25"/>
          </reference>
        </references>
      </pivotArea>
    </format>
    <format dxfId="101">
      <pivotArea dataOnly="0" labelOnly="1" outline="0" fieldPosition="0">
        <references count="2">
          <reference field="0" count="1" selected="0">
            <x v="80"/>
          </reference>
          <reference field="6" count="1">
            <x v="0"/>
          </reference>
        </references>
      </pivotArea>
    </format>
    <format dxfId="100">
      <pivotArea dataOnly="0" labelOnly="1" outline="0" fieldPosition="0">
        <references count="2">
          <reference field="0" count="1" selected="0">
            <x v="81"/>
          </reference>
          <reference field="6" count="1">
            <x v="50"/>
          </reference>
        </references>
      </pivotArea>
    </format>
    <format dxfId="99">
      <pivotArea dataOnly="0" labelOnly="1" outline="0" fieldPosition="0">
        <references count="2">
          <reference field="0" count="1" selected="0">
            <x v="82"/>
          </reference>
          <reference field="6" count="1">
            <x v="46"/>
          </reference>
        </references>
      </pivotArea>
    </format>
    <format dxfId="98">
      <pivotArea dataOnly="0" labelOnly="1" outline="0" fieldPosition="0">
        <references count="2">
          <reference field="0" count="1" selected="0">
            <x v="83"/>
          </reference>
          <reference field="6" count="1">
            <x v="24"/>
          </reference>
        </references>
      </pivotArea>
    </format>
    <format dxfId="97">
      <pivotArea dataOnly="0" labelOnly="1" outline="0" fieldPosition="0">
        <references count="2">
          <reference field="0" count="1" selected="0">
            <x v="84"/>
          </reference>
          <reference field="6" count="1">
            <x v="63"/>
          </reference>
        </references>
      </pivotArea>
    </format>
    <format dxfId="96">
      <pivotArea dataOnly="0" labelOnly="1" outline="0" fieldPosition="0">
        <references count="2">
          <reference field="0" count="1" selected="0">
            <x v="85"/>
          </reference>
          <reference field="6" count="1">
            <x v="67"/>
          </reference>
        </references>
      </pivotArea>
    </format>
    <format dxfId="95">
      <pivotArea dataOnly="0" labelOnly="1" outline="0" fieldPosition="0">
        <references count="2">
          <reference field="0" count="1" selected="0">
            <x v="86"/>
          </reference>
          <reference field="6" count="1">
            <x v="137"/>
          </reference>
        </references>
      </pivotArea>
    </format>
    <format dxfId="94">
      <pivotArea dataOnly="0" labelOnly="1" outline="0" fieldPosition="0">
        <references count="2">
          <reference field="0" count="1" selected="0">
            <x v="87"/>
          </reference>
          <reference field="6" count="1">
            <x v="13"/>
          </reference>
        </references>
      </pivotArea>
    </format>
    <format dxfId="93">
      <pivotArea dataOnly="0" labelOnly="1" outline="0" fieldPosition="0">
        <references count="2">
          <reference field="0" count="1" selected="0">
            <x v="88"/>
          </reference>
          <reference field="6" count="1">
            <x v="32"/>
          </reference>
        </references>
      </pivotArea>
    </format>
    <format dxfId="92">
      <pivotArea dataOnly="0" labelOnly="1" outline="0" fieldPosition="0">
        <references count="2">
          <reference field="0" count="1" selected="0">
            <x v="89"/>
          </reference>
          <reference field="6" count="1">
            <x v="53"/>
          </reference>
        </references>
      </pivotArea>
    </format>
    <format dxfId="91">
      <pivotArea dataOnly="0" labelOnly="1" outline="0" fieldPosition="0">
        <references count="2">
          <reference field="0" count="1" selected="0">
            <x v="90"/>
          </reference>
          <reference field="6" count="1">
            <x v="56"/>
          </reference>
        </references>
      </pivotArea>
    </format>
    <format dxfId="90">
      <pivotArea dataOnly="0" labelOnly="1" outline="0" fieldPosition="0">
        <references count="2">
          <reference field="0" count="1" selected="0">
            <x v="91"/>
          </reference>
          <reference field="6" count="1">
            <x v="76"/>
          </reference>
        </references>
      </pivotArea>
    </format>
    <format dxfId="89">
      <pivotArea dataOnly="0" labelOnly="1" outline="0" fieldPosition="0">
        <references count="2">
          <reference field="0" count="1" selected="0">
            <x v="92"/>
          </reference>
          <reference field="6" count="1">
            <x v="38"/>
          </reference>
        </references>
      </pivotArea>
    </format>
    <format dxfId="88">
      <pivotArea dataOnly="0" labelOnly="1" outline="0" fieldPosition="0">
        <references count="2">
          <reference field="0" count="1" selected="0">
            <x v="93"/>
          </reference>
          <reference field="6" count="1">
            <x v="127"/>
          </reference>
        </references>
      </pivotArea>
    </format>
    <format dxfId="87">
      <pivotArea dataOnly="0" labelOnly="1" outline="0" fieldPosition="0">
        <references count="2">
          <reference field="0" count="1" selected="0">
            <x v="94"/>
          </reference>
          <reference field="6" count="1">
            <x v="70"/>
          </reference>
        </references>
      </pivotArea>
    </format>
    <format dxfId="86">
      <pivotArea dataOnly="0" labelOnly="1" outline="0" fieldPosition="0">
        <references count="2">
          <reference field="0" count="1" selected="0">
            <x v="95"/>
          </reference>
          <reference field="6" count="1">
            <x v="41"/>
          </reference>
        </references>
      </pivotArea>
    </format>
    <format dxfId="85">
      <pivotArea dataOnly="0" labelOnly="1" outline="0" fieldPosition="0">
        <references count="2">
          <reference field="0" count="1" selected="0">
            <x v="96"/>
          </reference>
          <reference field="6" count="1">
            <x v="142"/>
          </reference>
        </references>
      </pivotArea>
    </format>
    <format dxfId="84">
      <pivotArea dataOnly="0" labelOnly="1" outline="0" fieldPosition="0">
        <references count="2">
          <reference field="0" count="1" selected="0">
            <x v="97"/>
          </reference>
          <reference field="6" count="1">
            <x v="124"/>
          </reference>
        </references>
      </pivotArea>
    </format>
    <format dxfId="83">
      <pivotArea dataOnly="0" labelOnly="1" outline="0" fieldPosition="0">
        <references count="2">
          <reference field="0" count="1" selected="0">
            <x v="98"/>
          </reference>
          <reference field="6" count="1">
            <x v="165"/>
          </reference>
        </references>
      </pivotArea>
    </format>
    <format dxfId="82">
      <pivotArea dataOnly="0" labelOnly="1" outline="0" fieldPosition="0">
        <references count="2">
          <reference field="0" count="1" selected="0">
            <x v="99"/>
          </reference>
          <reference field="6" count="1">
            <x v="82"/>
          </reference>
        </references>
      </pivotArea>
    </format>
    <format dxfId="81">
      <pivotArea dataOnly="0" labelOnly="1" outline="0" fieldPosition="0">
        <references count="2">
          <reference field="0" count="1" selected="0">
            <x v="100"/>
          </reference>
          <reference field="6" count="1">
            <x v="83"/>
          </reference>
        </references>
      </pivotArea>
    </format>
    <format dxfId="80">
      <pivotArea dataOnly="0" labelOnly="1" outline="0" fieldPosition="0">
        <references count="2">
          <reference field="0" count="1" selected="0">
            <x v="101"/>
          </reference>
          <reference field="6" count="1">
            <x v="80"/>
          </reference>
        </references>
      </pivotArea>
    </format>
    <format dxfId="79">
      <pivotArea dataOnly="0" labelOnly="1" outline="0" fieldPosition="0">
        <references count="2">
          <reference field="0" count="1" selected="0">
            <x v="102"/>
          </reference>
          <reference field="6" count="1">
            <x v="66"/>
          </reference>
        </references>
      </pivotArea>
    </format>
    <format dxfId="78">
      <pivotArea dataOnly="0" labelOnly="1" outline="0" fieldPosition="0">
        <references count="2">
          <reference field="0" count="1" selected="0">
            <x v="103"/>
          </reference>
          <reference field="6" count="1">
            <x v="18"/>
          </reference>
        </references>
      </pivotArea>
    </format>
    <format dxfId="77">
      <pivotArea dataOnly="0" labelOnly="1" outline="0" fieldPosition="0">
        <references count="2">
          <reference field="0" count="1" selected="0">
            <x v="104"/>
          </reference>
          <reference field="6" count="1">
            <x v="120"/>
          </reference>
        </references>
      </pivotArea>
    </format>
    <format dxfId="76">
      <pivotArea dataOnly="0" labelOnly="1" outline="0" fieldPosition="0">
        <references count="2">
          <reference field="0" count="1" selected="0">
            <x v="105"/>
          </reference>
          <reference field="6" count="1">
            <x v="79"/>
          </reference>
        </references>
      </pivotArea>
    </format>
    <format dxfId="75">
      <pivotArea dataOnly="0" labelOnly="1" outline="0" fieldPosition="0">
        <references count="2">
          <reference field="0" count="1" selected="0">
            <x v="106"/>
          </reference>
          <reference field="6" count="1">
            <x v="40"/>
          </reference>
        </references>
      </pivotArea>
    </format>
    <format dxfId="74">
      <pivotArea dataOnly="0" labelOnly="1" outline="0" fieldPosition="0">
        <references count="2">
          <reference field="0" count="1" selected="0">
            <x v="107"/>
          </reference>
          <reference field="6" count="1">
            <x v="152"/>
          </reference>
        </references>
      </pivotArea>
    </format>
    <format dxfId="73">
      <pivotArea dataOnly="0" labelOnly="1" outline="0" fieldPosition="0">
        <references count="2">
          <reference field="0" count="1" selected="0">
            <x v="108"/>
          </reference>
          <reference field="6" count="1">
            <x v="149"/>
          </reference>
        </references>
      </pivotArea>
    </format>
    <format dxfId="72">
      <pivotArea dataOnly="0" labelOnly="1" outline="0" fieldPosition="0">
        <references count="2">
          <reference field="0" count="1" selected="0">
            <x v="109"/>
          </reference>
          <reference field="6" count="1">
            <x v="30"/>
          </reference>
        </references>
      </pivotArea>
    </format>
    <format dxfId="71">
      <pivotArea dataOnly="0" labelOnly="1" outline="0" fieldPosition="0">
        <references count="2">
          <reference field="0" count="1" selected="0">
            <x v="110"/>
          </reference>
          <reference field="6" count="1">
            <x v="68"/>
          </reference>
        </references>
      </pivotArea>
    </format>
    <format dxfId="70">
      <pivotArea dataOnly="0" labelOnly="1" outline="0" fieldPosition="0">
        <references count="2">
          <reference field="0" count="1" selected="0">
            <x v="111"/>
          </reference>
          <reference field="6" count="1">
            <x v="15"/>
          </reference>
        </references>
      </pivotArea>
    </format>
    <format dxfId="69">
      <pivotArea dataOnly="0" labelOnly="1" outline="0" fieldPosition="0">
        <references count="2">
          <reference field="0" count="1" selected="0">
            <x v="112"/>
          </reference>
          <reference field="6" count="1">
            <x v="151"/>
          </reference>
        </references>
      </pivotArea>
    </format>
    <format dxfId="68">
      <pivotArea dataOnly="0" labelOnly="1" outline="0" fieldPosition="0">
        <references count="2">
          <reference field="0" count="1" selected="0">
            <x v="113"/>
          </reference>
          <reference field="6" count="1">
            <x v="28"/>
          </reference>
        </references>
      </pivotArea>
    </format>
    <format dxfId="67">
      <pivotArea dataOnly="0" labelOnly="1" outline="0" fieldPosition="0">
        <references count="2">
          <reference field="0" count="1" selected="0">
            <x v="114"/>
          </reference>
          <reference field="6" count="1">
            <x v="164"/>
          </reference>
        </references>
      </pivotArea>
    </format>
    <format dxfId="66">
      <pivotArea dataOnly="0" labelOnly="1" outline="0" fieldPosition="0">
        <references count="2">
          <reference field="0" count="1" selected="0">
            <x v="115"/>
          </reference>
          <reference field="6" count="1">
            <x v="128"/>
          </reference>
        </references>
      </pivotArea>
    </format>
    <format dxfId="65">
      <pivotArea dataOnly="0" labelOnly="1" outline="0" fieldPosition="0">
        <references count="2">
          <reference field="0" count="1" selected="0">
            <x v="116"/>
          </reference>
          <reference field="6" count="1">
            <x v="148"/>
          </reference>
        </references>
      </pivotArea>
    </format>
    <format dxfId="64">
      <pivotArea dataOnly="0" labelOnly="1" outline="0" fieldPosition="0">
        <references count="2">
          <reference field="0" count="1" selected="0">
            <x v="117"/>
          </reference>
          <reference field="6" count="1">
            <x v="2"/>
          </reference>
        </references>
      </pivotArea>
    </format>
    <format dxfId="63">
      <pivotArea dataOnly="0" labelOnly="1" outline="0" fieldPosition="0">
        <references count="2">
          <reference field="0" count="1" selected="0">
            <x v="118"/>
          </reference>
          <reference field="6" count="1">
            <x v="121"/>
          </reference>
        </references>
      </pivotArea>
    </format>
    <format dxfId="62">
      <pivotArea dataOnly="0" labelOnly="1" outline="0" fieldPosition="0">
        <references count="2">
          <reference field="0" count="1" selected="0">
            <x v="119"/>
          </reference>
          <reference field="6" count="1">
            <x v="160"/>
          </reference>
        </references>
      </pivotArea>
    </format>
    <format dxfId="61">
      <pivotArea dataOnly="0" labelOnly="1" outline="0" fieldPosition="0">
        <references count="2">
          <reference field="0" count="1" selected="0">
            <x v="120"/>
          </reference>
          <reference field="6" count="1">
            <x v="145"/>
          </reference>
        </references>
      </pivotArea>
    </format>
    <format dxfId="60">
      <pivotArea dataOnly="0" labelOnly="1" outline="0" fieldPosition="0">
        <references count="2">
          <reference field="0" count="1" selected="0">
            <x v="121"/>
          </reference>
          <reference field="6" count="1">
            <x v="52"/>
          </reference>
        </references>
      </pivotArea>
    </format>
    <format dxfId="59">
      <pivotArea dataOnly="0" labelOnly="1" outline="0" fieldPosition="0">
        <references count="2">
          <reference field="0" count="1" selected="0">
            <x v="122"/>
          </reference>
          <reference field="6" count="1">
            <x v="62"/>
          </reference>
        </references>
      </pivotArea>
    </format>
    <format dxfId="58">
      <pivotArea dataOnly="0" labelOnly="1" outline="0" fieldPosition="0">
        <references count="2">
          <reference field="0" count="1" selected="0">
            <x v="123"/>
          </reference>
          <reference field="6" count="1">
            <x v="73"/>
          </reference>
        </references>
      </pivotArea>
    </format>
    <format dxfId="57">
      <pivotArea dataOnly="0" labelOnly="1" outline="0" fieldPosition="0">
        <references count="2">
          <reference field="0" count="1" selected="0">
            <x v="124"/>
          </reference>
          <reference field="6" count="1">
            <x v="94"/>
          </reference>
        </references>
      </pivotArea>
    </format>
    <format dxfId="56">
      <pivotArea dataOnly="0" labelOnly="1" outline="0" fieldPosition="0">
        <references count="2">
          <reference field="0" count="1" selected="0">
            <x v="125"/>
          </reference>
          <reference field="6" count="1">
            <x v="102"/>
          </reference>
        </references>
      </pivotArea>
    </format>
    <format dxfId="55">
      <pivotArea dataOnly="0" labelOnly="1" outline="0" fieldPosition="0">
        <references count="2">
          <reference field="0" count="1" selected="0">
            <x v="126"/>
          </reference>
          <reference field="6" count="1">
            <x v="130"/>
          </reference>
        </references>
      </pivotArea>
    </format>
    <format dxfId="54">
      <pivotArea dataOnly="0" labelOnly="1" outline="0" fieldPosition="0">
        <references count="2">
          <reference field="0" count="1" selected="0">
            <x v="127"/>
          </reference>
          <reference field="6" count="1">
            <x v="144"/>
          </reference>
        </references>
      </pivotArea>
    </format>
    <format dxfId="53">
      <pivotArea dataOnly="0" labelOnly="1" outline="0" fieldPosition="0">
        <references count="2">
          <reference field="0" count="1" selected="0">
            <x v="128"/>
          </reference>
          <reference field="6" count="1">
            <x v="47"/>
          </reference>
        </references>
      </pivotArea>
    </format>
    <format dxfId="52">
      <pivotArea dataOnly="0" labelOnly="1" outline="0" fieldPosition="0">
        <references count="2">
          <reference field="0" count="1" selected="0">
            <x v="129"/>
          </reference>
          <reference field="6" count="1">
            <x v="65"/>
          </reference>
        </references>
      </pivotArea>
    </format>
    <format dxfId="51">
      <pivotArea dataOnly="0" labelOnly="1" outline="0" fieldPosition="0">
        <references count="2">
          <reference field="0" count="1" selected="0">
            <x v="130"/>
          </reference>
          <reference field="6" count="1">
            <x v="84"/>
          </reference>
        </references>
      </pivotArea>
    </format>
    <format dxfId="50">
      <pivotArea dataOnly="0" labelOnly="1" outline="0" fieldPosition="0">
        <references count="2">
          <reference field="0" count="1" selected="0">
            <x v="131"/>
          </reference>
          <reference field="6" count="1">
            <x v="138"/>
          </reference>
        </references>
      </pivotArea>
    </format>
    <format dxfId="49">
      <pivotArea dataOnly="0" labelOnly="1" outline="0" fieldPosition="0">
        <references count="2">
          <reference field="0" count="1" selected="0">
            <x v="132"/>
          </reference>
          <reference field="6" count="1">
            <x v="93"/>
          </reference>
        </references>
      </pivotArea>
    </format>
    <format dxfId="48">
      <pivotArea dataOnly="0" labelOnly="1" outline="0" fieldPosition="0">
        <references count="2">
          <reference field="0" count="1" selected="0">
            <x v="133"/>
          </reference>
          <reference field="6" count="1">
            <x v="99"/>
          </reference>
        </references>
      </pivotArea>
    </format>
    <format dxfId="47">
      <pivotArea dataOnly="0" labelOnly="1" outline="0" fieldPosition="0">
        <references count="2">
          <reference field="0" count="1" selected="0">
            <x v="134"/>
          </reference>
          <reference field="6" count="1">
            <x v="87"/>
          </reference>
        </references>
      </pivotArea>
    </format>
    <format dxfId="46">
      <pivotArea dataOnly="0" labelOnly="1" outline="0" fieldPosition="0">
        <references count="2">
          <reference field="0" count="1" selected="0">
            <x v="135"/>
          </reference>
          <reference field="6" count="1">
            <x v="49"/>
          </reference>
        </references>
      </pivotArea>
    </format>
    <format dxfId="45">
      <pivotArea dataOnly="0" labelOnly="1" outline="0" fieldPosition="0">
        <references count="2">
          <reference field="0" count="1" selected="0">
            <x v="136"/>
          </reference>
          <reference field="6" count="1">
            <x v="98"/>
          </reference>
        </references>
      </pivotArea>
    </format>
    <format dxfId="44">
      <pivotArea dataOnly="0" labelOnly="1" outline="0" fieldPosition="0">
        <references count="2">
          <reference field="0" count="1" selected="0">
            <x v="137"/>
          </reference>
          <reference field="6" count="1">
            <x v="122"/>
          </reference>
        </references>
      </pivotArea>
    </format>
    <format dxfId="43">
      <pivotArea dataOnly="0" labelOnly="1" outline="0" fieldPosition="0">
        <references count="2">
          <reference field="0" count="1" selected="0">
            <x v="138"/>
          </reference>
          <reference field="6" count="1">
            <x v="55"/>
          </reference>
        </references>
      </pivotArea>
    </format>
    <format dxfId="42">
      <pivotArea dataOnly="0" labelOnly="1" outline="0" fieldPosition="0">
        <references count="2">
          <reference field="0" count="1" selected="0">
            <x v="139"/>
          </reference>
          <reference field="6" count="1">
            <x v="59"/>
          </reference>
        </references>
      </pivotArea>
    </format>
    <format dxfId="41">
      <pivotArea dataOnly="0" labelOnly="1" outline="0" fieldPosition="0">
        <references count="2">
          <reference field="0" count="1" selected="0">
            <x v="140"/>
          </reference>
          <reference field="6" count="1">
            <x v="51"/>
          </reference>
        </references>
      </pivotArea>
    </format>
    <format dxfId="40">
      <pivotArea dataOnly="0" labelOnly="1" outline="0" fieldPosition="0">
        <references count="2">
          <reference field="0" count="1" selected="0">
            <x v="141"/>
          </reference>
          <reference field="6" count="1">
            <x v="86"/>
          </reference>
        </references>
      </pivotArea>
    </format>
    <format dxfId="39">
      <pivotArea dataOnly="0" labelOnly="1" outline="0" fieldPosition="0">
        <references count="2">
          <reference field="0" count="1" selected="0">
            <x v="142"/>
          </reference>
          <reference field="6" count="1">
            <x v="22"/>
          </reference>
        </references>
      </pivotArea>
    </format>
    <format dxfId="38">
      <pivotArea dataOnly="0" labelOnly="1" outline="0" fieldPosition="0">
        <references count="2">
          <reference field="0" count="1" selected="0">
            <x v="143"/>
          </reference>
          <reference field="6" count="1">
            <x v="110"/>
          </reference>
        </references>
      </pivotArea>
    </format>
    <format dxfId="37">
      <pivotArea dataOnly="0" labelOnly="1" outline="0" fieldPosition="0">
        <references count="2">
          <reference field="0" count="1" selected="0">
            <x v="144"/>
          </reference>
          <reference field="6" count="1">
            <x v="90"/>
          </reference>
        </references>
      </pivotArea>
    </format>
    <format dxfId="36">
      <pivotArea dataOnly="0" labelOnly="1" outline="0" fieldPosition="0">
        <references count="2">
          <reference field="0" count="1" selected="0">
            <x v="145"/>
          </reference>
          <reference field="6" count="1">
            <x v="72"/>
          </reference>
        </references>
      </pivotArea>
    </format>
    <format dxfId="35">
      <pivotArea dataOnly="0" labelOnly="1" outline="0" fieldPosition="0">
        <references count="2">
          <reference field="0" count="1" selected="0">
            <x v="146"/>
          </reference>
          <reference field="6" count="1">
            <x v="112"/>
          </reference>
        </references>
      </pivotArea>
    </format>
    <format dxfId="34">
      <pivotArea dataOnly="0" labelOnly="1" outline="0" fieldPosition="0">
        <references count="2">
          <reference field="0" count="1" selected="0">
            <x v="147"/>
          </reference>
          <reference field="6" count="1">
            <x v="39"/>
          </reference>
        </references>
      </pivotArea>
    </format>
    <format dxfId="33">
      <pivotArea dataOnly="0" labelOnly="1" outline="0" fieldPosition="0">
        <references count="2">
          <reference field="0" count="1" selected="0">
            <x v="148"/>
          </reference>
          <reference field="6" count="1">
            <x v="116"/>
          </reference>
        </references>
      </pivotArea>
    </format>
    <format dxfId="32">
      <pivotArea dataOnly="0" labelOnly="1" outline="0" fieldPosition="0">
        <references count="2">
          <reference field="0" count="1" selected="0">
            <x v="149"/>
          </reference>
          <reference field="6" count="1">
            <x v="34"/>
          </reference>
        </references>
      </pivotArea>
    </format>
    <format dxfId="31">
      <pivotArea dataOnly="0" labelOnly="1" outline="0" fieldPosition="0">
        <references count="2">
          <reference field="0" count="1" selected="0">
            <x v="150"/>
          </reference>
          <reference field="6" count="1">
            <x v="129"/>
          </reference>
        </references>
      </pivotArea>
    </format>
    <format dxfId="30">
      <pivotArea dataOnly="0" labelOnly="1" outline="0" fieldPosition="0">
        <references count="2">
          <reference field="0" count="1" selected="0">
            <x v="151"/>
          </reference>
          <reference field="6" count="1">
            <x v="26"/>
          </reference>
        </references>
      </pivotArea>
    </format>
    <format dxfId="29">
      <pivotArea dataOnly="0" labelOnly="1" outline="0" fieldPosition="0">
        <references count="2">
          <reference field="0" count="1" selected="0">
            <x v="152"/>
          </reference>
          <reference field="6" count="1">
            <x v="64"/>
          </reference>
        </references>
      </pivotArea>
    </format>
    <format dxfId="28">
      <pivotArea dataOnly="0" labelOnly="1" outline="0" fieldPosition="0">
        <references count="2">
          <reference field="0" count="1" selected="0">
            <x v="153"/>
          </reference>
          <reference field="6" count="1">
            <x v="77"/>
          </reference>
        </references>
      </pivotArea>
    </format>
    <format dxfId="27">
      <pivotArea dataOnly="0" labelOnly="1" outline="0" fieldPosition="0">
        <references count="2">
          <reference field="0" count="1" selected="0">
            <x v="154"/>
          </reference>
          <reference field="6" count="1">
            <x v="54"/>
          </reference>
        </references>
      </pivotArea>
    </format>
    <format dxfId="26">
      <pivotArea dataOnly="0" labelOnly="1" outline="0" fieldPosition="0">
        <references count="2">
          <reference field="0" count="1" selected="0">
            <x v="155"/>
          </reference>
          <reference field="6" count="1">
            <x v="143"/>
          </reference>
        </references>
      </pivotArea>
    </format>
    <format dxfId="25">
      <pivotArea dataOnly="0" labelOnly="1" outline="0" fieldPosition="0">
        <references count="2">
          <reference field="0" count="1" selected="0">
            <x v="156"/>
          </reference>
          <reference field="6" count="1">
            <x v="31"/>
          </reference>
        </references>
      </pivotArea>
    </format>
    <format dxfId="24">
      <pivotArea dataOnly="0" labelOnly="1" outline="0" fieldPosition="0">
        <references count="2">
          <reference field="0" count="1" selected="0">
            <x v="157"/>
          </reference>
          <reference field="6" count="1">
            <x v="85"/>
          </reference>
        </references>
      </pivotArea>
    </format>
    <format dxfId="23">
      <pivotArea dataOnly="0" labelOnly="1" outline="0" fieldPosition="0">
        <references count="2">
          <reference field="0" count="1" selected="0">
            <x v="158"/>
          </reference>
          <reference field="6" count="1">
            <x v="159"/>
          </reference>
        </references>
      </pivotArea>
    </format>
    <format dxfId="22">
      <pivotArea dataOnly="0" labelOnly="1" outline="0" fieldPosition="0">
        <references count="2">
          <reference field="0" count="1" selected="0">
            <x v="159"/>
          </reference>
          <reference field="6" count="1">
            <x v="14"/>
          </reference>
        </references>
      </pivotArea>
    </format>
    <format dxfId="21">
      <pivotArea dataOnly="0" labelOnly="1" outline="0" fieldPosition="0">
        <references count="2">
          <reference field="0" count="1" selected="0">
            <x v="160"/>
          </reference>
          <reference field="6" count="1">
            <x v="81"/>
          </reference>
        </references>
      </pivotArea>
    </format>
    <format dxfId="20">
      <pivotArea dataOnly="0" labelOnly="1" outline="0" fieldPosition="0">
        <references count="2">
          <reference field="0" count="1" selected="0">
            <x v="161"/>
          </reference>
          <reference field="6" count="1">
            <x v="78"/>
          </reference>
        </references>
      </pivotArea>
    </format>
    <format dxfId="19">
      <pivotArea dataOnly="0" labelOnly="1" outline="0" fieldPosition="0">
        <references count="2">
          <reference field="0" count="1" selected="0">
            <x v="162"/>
          </reference>
          <reference field="6" count="1">
            <x v="139"/>
          </reference>
        </references>
      </pivotArea>
    </format>
    <format dxfId="18">
      <pivotArea dataOnly="0" labelOnly="1" outline="0" fieldPosition="0">
        <references count="2">
          <reference field="0" count="1" selected="0">
            <x v="163"/>
          </reference>
          <reference field="6" count="1">
            <x v="60"/>
          </reference>
        </references>
      </pivotArea>
    </format>
    <format dxfId="17">
      <pivotArea dataOnly="0" labelOnly="1" outline="0" fieldPosition="0">
        <references count="2">
          <reference field="0" count="1" selected="0">
            <x v="164"/>
          </reference>
          <reference field="6" count="1">
            <x v="135"/>
          </reference>
        </references>
      </pivotArea>
    </format>
    <format dxfId="16">
      <pivotArea dataOnly="0" labelOnly="1" outline="0" fieldPosition="0">
        <references count="2">
          <reference field="0" count="1" selected="0">
            <x v="165"/>
          </reference>
          <reference field="6" count="1">
            <x v="158"/>
          </reference>
        </references>
      </pivotArea>
    </format>
    <format dxfId="15">
      <pivotArea field="0" type="button" dataOnly="0" labelOnly="1" outline="0" axis="axisRow" fieldPosition="0"/>
    </format>
    <format dxfId="14">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
      <pivotArea dataOnly="0" labelOnly="1" outline="0" fieldPosition="0">
        <references count="1">
          <reference field="0" count="16">
            <x v="150"/>
            <x v="151"/>
            <x v="152"/>
            <x v="153"/>
            <x v="154"/>
            <x v="155"/>
            <x v="156"/>
            <x v="157"/>
            <x v="158"/>
            <x v="159"/>
            <x v="160"/>
            <x v="161"/>
            <x v="162"/>
            <x v="163"/>
            <x v="164"/>
            <x v="165"/>
          </reference>
        </references>
      </pivotArea>
    </format>
  </formats>
  <chartFormats count="3">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8">
  <location ref="C4:D10" firstHeaderRow="1" firstDataRow="1" firstDataCol="1"/>
  <pivotFields count="8">
    <pivotField dataField="1" showAll="0"/>
    <pivotField showAll="0" defaultSubtotal="0">
      <items count="3">
        <item h="1" x="2"/>
        <item x="1"/>
        <item h="1" x="0"/>
      </items>
    </pivotField>
    <pivotField showAll="0" defaultSubtotal="0"/>
    <pivotField axis="axisRow" showAll="0" defaultSubtotal="0">
      <items count="7">
        <item x="0"/>
        <item x="1"/>
        <item x="2"/>
        <item x="3"/>
        <item x="4"/>
        <item x="5"/>
        <item x="6"/>
      </items>
    </pivotField>
    <pivotField showAll="0" defaultSubtotal="0"/>
    <pivotField showAll="0" defaultSubtotal="0"/>
    <pivotField showAll="0" defaultSubtotal="0"/>
    <pivotField showAll="0" defaultSubtotal="0"/>
  </pivotFields>
  <rowFields count="1">
    <field x="3"/>
  </rowFields>
  <rowItems count="6">
    <i>
      <x v="1"/>
    </i>
    <i>
      <x v="2"/>
    </i>
    <i>
      <x v="3"/>
    </i>
    <i>
      <x v="4"/>
    </i>
    <i>
      <x v="5"/>
    </i>
    <i t="grand">
      <x/>
    </i>
  </rowItems>
  <colItems count="1">
    <i/>
  </colItems>
  <dataFields count="1">
    <dataField name="Count of E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H4:I8" firstHeaderRow="1" firstDataRow="1" firstDataCol="1"/>
  <pivotFields count="8">
    <pivotField showAll="0"/>
    <pivotField axis="axisRow" showAll="0" defaultSubtotal="0">
      <items count="3">
        <item x="2"/>
        <item x="1"/>
        <item x="0"/>
      </items>
    </pivotField>
    <pivotField showAll="0" defaultSubtotal="0"/>
    <pivotField dataField="1" showAll="0" defaultSubtotal="0"/>
    <pivotField showAll="0" defaultSubtotal="0"/>
    <pivotField showAll="0" defaultSubtotal="0">
      <items count="166">
        <item x="46"/>
        <item x="5"/>
        <item x="88"/>
        <item x="95"/>
        <item x="53"/>
        <item x="50"/>
        <item x="83"/>
        <item x="20"/>
        <item x="51"/>
        <item x="33"/>
        <item x="108"/>
        <item x="76"/>
        <item x="119"/>
        <item x="65"/>
        <item x="159"/>
        <item x="37"/>
        <item x="112"/>
        <item x="62"/>
        <item x="24"/>
        <item x="12"/>
        <item x="100"/>
        <item x="139"/>
        <item x="92"/>
        <item x="43"/>
        <item x="116"/>
        <item x="137"/>
        <item x="94"/>
        <item x="63"/>
        <item x="10"/>
        <item x="58"/>
        <item x="117"/>
        <item x="120"/>
        <item x="44"/>
        <item x="138"/>
        <item x="17"/>
        <item x="110"/>
        <item x="97"/>
        <item x="16"/>
        <item x="144"/>
        <item x="125"/>
        <item x="122"/>
        <item x="19"/>
        <item x="22"/>
        <item x="96"/>
        <item x="21"/>
        <item x="57"/>
        <item x="157"/>
        <item x="115"/>
        <item x="149"/>
        <item x="55"/>
        <item x="150"/>
        <item x="80"/>
        <item x="14"/>
        <item x="146"/>
        <item x="64"/>
        <item x="75"/>
        <item x="52"/>
        <item x="25"/>
        <item x="136"/>
        <item x="133"/>
        <item x="35"/>
        <item x="6"/>
        <item x="77"/>
        <item x="153"/>
        <item x="82"/>
        <item x="158"/>
        <item x="59"/>
        <item x="90"/>
        <item x="40"/>
        <item x="121"/>
        <item x="11"/>
        <item x="142"/>
        <item x="7"/>
        <item x="118"/>
        <item x="104"/>
        <item x="163"/>
        <item x="78"/>
        <item x="145"/>
        <item x="131"/>
        <item x="69"/>
        <item x="89"/>
        <item x="47"/>
        <item x="79"/>
        <item x="68"/>
        <item x="127"/>
        <item x="130"/>
        <item x="152"/>
        <item x="134"/>
        <item x="28"/>
        <item x="15"/>
        <item x="141"/>
        <item x="106"/>
        <item x="2"/>
        <item x="3"/>
        <item x="8"/>
        <item x="32"/>
        <item x="66"/>
        <item x="30"/>
        <item x="135"/>
        <item x="4"/>
        <item x="162"/>
        <item x="114"/>
        <item x="9"/>
        <item x="161"/>
        <item x="31"/>
        <item x="27"/>
        <item x="26"/>
        <item x="103"/>
        <item x="73"/>
        <item x="39"/>
        <item x="140"/>
        <item x="23"/>
        <item x="143"/>
        <item x="36"/>
        <item x="93"/>
        <item x="86"/>
        <item x="165"/>
        <item x="45"/>
        <item x="74"/>
        <item x="91"/>
        <item x="124"/>
        <item x="81"/>
        <item x="151"/>
        <item x="42"/>
        <item x="61"/>
        <item x="84"/>
        <item x="29"/>
        <item x="60"/>
        <item x="54"/>
        <item x="0"/>
        <item x="129"/>
        <item x="156"/>
        <item x="87"/>
        <item x="111"/>
        <item x="99"/>
        <item x="155"/>
        <item x="105"/>
        <item x="13"/>
        <item x="128"/>
        <item x="132"/>
        <item x="113"/>
        <item x="41"/>
        <item x="18"/>
        <item x="154"/>
        <item x="72"/>
        <item x="126"/>
        <item x="85"/>
        <item x="38"/>
        <item x="70"/>
        <item x="164"/>
        <item x="109"/>
        <item x="160"/>
        <item x="56"/>
        <item x="107"/>
        <item x="98"/>
        <item x="34"/>
        <item x="67"/>
        <item x="48"/>
        <item x="147"/>
        <item x="148"/>
        <item x="71"/>
        <item x="102"/>
        <item x="101"/>
        <item x="49"/>
        <item x="1"/>
        <item x="123"/>
      </items>
    </pivotField>
    <pivotField showAll="0" defaultSubtotal="0"/>
    <pivotField showAll="0" defaultSubtotal="0"/>
  </pivotFields>
  <rowFields count="1">
    <field x="1"/>
  </rowFields>
  <rowItems count="4">
    <i>
      <x/>
    </i>
    <i>
      <x v="1"/>
    </i>
    <i>
      <x v="2"/>
    </i>
    <i t="grand">
      <x/>
    </i>
  </rowItems>
  <colItems count="1">
    <i/>
  </colItems>
  <dataFields count="1">
    <dataField name="Average of Rating" fld="3" subtotal="average" baseField="0" baseItem="135257968" numFmtId="2"/>
  </dataFields>
  <chartFormats count="1">
    <chartFormat chart="14"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00000000-0013-0000-FFFF-FFFF01000000}" sourceName="Period">
  <pivotTables>
    <pivotTable tabId="2" name="PivotTable2"/>
    <pivotTable tabId="4" name="PT_Bubble"/>
  </pivotTables>
  <data>
    <tabular pivotCacheId="3">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4" name="PT_Bubble"/>
  </pivotTables>
  <data>
    <tabular pivotCacheId="3">
      <items count="5">
        <i x="0"/>
        <i x="4"/>
        <i x="3"/>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00000000-0013-0000-FFFF-FFFF03000000}" sourceName="Group">
  <pivotTables>
    <pivotTable tabId="4" name="PT_Bubble"/>
  </pivotTables>
  <data>
    <tabular pivotCacheId="3">
      <items count="9">
        <i x="5" s="1"/>
        <i x="3" s="1"/>
        <i x="6" s="1"/>
        <i x="1" s="1"/>
        <i x="0" s="1"/>
        <i x="8" s="1"/>
        <i x="4" s="1"/>
        <i x="2"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1" xr10:uid="{00000000-0014-0000-FFFF-FFFF01000000}" cache="Slicer_Period" caption="Period" columnCount="3" style="SlicerStyleLight2" rowHeight="241300"/>
  <slicer name="Department 1" xr10:uid="{00000000-0014-0000-FFFF-FFFF02000000}" cache="Slicer_Department" caption="Department" columnCount="5" style="SlicerStyleLight2" rowHeight="241300"/>
  <slicer name="Group" xr10:uid="{00000000-0014-0000-FFFF-FFFF03000000}" cache="Slicer_Group" caption="Group" columnCount="9"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formance" displayName="Performance" ref="A1:H499" totalsRowShown="0" headerRowDxfId="10" dataDxfId="9">
  <autoFilter ref="A1:H499" xr:uid="{00000000-0009-0000-0100-000001000000}"/>
  <sortState xmlns:xlrd2="http://schemas.microsoft.com/office/spreadsheetml/2017/richdata2" ref="A2:D499">
    <sortCondition descending="1" ref="B1:B499"/>
  </sortState>
  <tableColumns count="8">
    <tableColumn id="1" xr3:uid="{00000000-0010-0000-0000-000001000000}" name="EID" dataDxfId="8"/>
    <tableColumn id="2" xr3:uid="{00000000-0010-0000-0000-000002000000}" name="Period" dataDxfId="7"/>
    <tableColumn id="3" xr3:uid="{00000000-0010-0000-0000-000003000000}" name="Potential" dataDxfId="6"/>
    <tableColumn id="4" xr3:uid="{00000000-0010-0000-0000-000004000000}" name="Rating" dataDxfId="5"/>
    <tableColumn id="5" xr3:uid="{00000000-0010-0000-0000-000005000000}" name="Department" dataDxfId="4"/>
    <tableColumn id="6" xr3:uid="{00000000-0010-0000-0000-000006000000}" name="Name" dataDxfId="3"/>
    <tableColumn id="7" xr3:uid="{00000000-0010-0000-0000-000007000000}" name="ShortName" dataDxfId="2">
      <calculatedColumnFormula>LEFT(F2,FIND(" ",F2)-1)</calculatedColumnFormula>
    </tableColumn>
    <tableColumn id="8" xr3:uid="{00000000-0010-0000-0000-000008000000}" name="Group" dataDxfId="1">
      <calculatedColumnFormula>FLOOR(C2,2)&amp;FLOOR(D2,2)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X3:AA171"/>
  <sheetViews>
    <sheetView showGridLines="0" tabSelected="1" workbookViewId="0"/>
  </sheetViews>
  <sheetFormatPr defaultRowHeight="14.5" x14ac:dyDescent="0.35"/>
  <cols>
    <col min="1" max="1" width="4.453125" customWidth="1"/>
    <col min="23" max="23" width="2.1796875" customWidth="1"/>
    <col min="24" max="24" width="8.453125" style="8" bestFit="1" customWidth="1"/>
    <col min="25" max="25" width="13.26953125" style="8" bestFit="1" customWidth="1"/>
    <col min="26" max="26" width="12.453125" style="8" bestFit="1" customWidth="1"/>
    <col min="27" max="27" width="9.54296875" style="8" bestFit="1" customWidth="1"/>
  </cols>
  <sheetData>
    <row r="3" spans="24:27" ht="23.5" customHeight="1" x14ac:dyDescent="0.35"/>
    <row r="5" spans="24:27" x14ac:dyDescent="0.35">
      <c r="X5" s="10" t="s">
        <v>0</v>
      </c>
      <c r="Y5" s="10" t="s">
        <v>411</v>
      </c>
      <c r="Z5" s="8" t="s">
        <v>412</v>
      </c>
      <c r="AA5" s="8" t="s">
        <v>413</v>
      </c>
    </row>
    <row r="6" spans="24:27" x14ac:dyDescent="0.35">
      <c r="X6" s="8" t="s">
        <v>78</v>
      </c>
      <c r="Y6" s="8" t="s">
        <v>370</v>
      </c>
      <c r="Z6" s="9">
        <v>2.4</v>
      </c>
      <c r="AA6" s="9">
        <v>4.5999999999999996</v>
      </c>
    </row>
    <row r="7" spans="24:27" x14ac:dyDescent="0.35">
      <c r="X7" s="8" t="s">
        <v>31</v>
      </c>
      <c r="Y7" s="8" t="s">
        <v>355</v>
      </c>
      <c r="Z7" s="9">
        <v>3.9</v>
      </c>
      <c r="AA7" s="9">
        <v>4.8</v>
      </c>
    </row>
    <row r="8" spans="24:27" x14ac:dyDescent="0.35">
      <c r="X8" s="8" t="s">
        <v>32</v>
      </c>
      <c r="Y8" s="8" t="s">
        <v>356</v>
      </c>
      <c r="Z8" s="9">
        <v>3</v>
      </c>
      <c r="AA8" s="9">
        <v>4.0999999999999996</v>
      </c>
    </row>
    <row r="9" spans="24:27" x14ac:dyDescent="0.35">
      <c r="X9" s="8" t="s">
        <v>37</v>
      </c>
      <c r="Y9" s="8" t="s">
        <v>357</v>
      </c>
      <c r="Z9" s="9">
        <v>2.9</v>
      </c>
      <c r="AA9" s="9">
        <v>0.2</v>
      </c>
    </row>
    <row r="10" spans="24:27" x14ac:dyDescent="0.35">
      <c r="X10" s="8" t="s">
        <v>38</v>
      </c>
      <c r="Y10" s="8" t="s">
        <v>358</v>
      </c>
      <c r="Z10" s="9">
        <v>2.8</v>
      </c>
      <c r="AA10" s="9">
        <v>4.9000000000000004</v>
      </c>
    </row>
    <row r="11" spans="24:27" x14ac:dyDescent="0.35">
      <c r="X11" s="8" t="s">
        <v>39</v>
      </c>
      <c r="Y11" s="8" t="s">
        <v>359</v>
      </c>
      <c r="Z11" s="9">
        <v>2.8</v>
      </c>
      <c r="AA11" s="9">
        <v>4.5</v>
      </c>
    </row>
    <row r="12" spans="24:27" x14ac:dyDescent="0.35">
      <c r="X12" s="8" t="s">
        <v>173</v>
      </c>
      <c r="Y12" s="8" t="s">
        <v>406</v>
      </c>
      <c r="Z12" s="9">
        <v>0.8</v>
      </c>
      <c r="AA12" s="9">
        <v>1.1000000000000001</v>
      </c>
    </row>
    <row r="13" spans="24:27" x14ac:dyDescent="0.35">
      <c r="X13" s="8" t="s">
        <v>168</v>
      </c>
      <c r="Y13" s="8" t="s">
        <v>405</v>
      </c>
      <c r="Z13" s="9">
        <v>5</v>
      </c>
      <c r="AA13" s="9">
        <v>1.8</v>
      </c>
    </row>
    <row r="14" spans="24:27" x14ac:dyDescent="0.35">
      <c r="X14" s="8" t="s">
        <v>108</v>
      </c>
      <c r="Y14" s="8" t="s">
        <v>378</v>
      </c>
      <c r="Z14" s="9">
        <v>1.2</v>
      </c>
      <c r="AA14" s="9">
        <v>3.7</v>
      </c>
    </row>
    <row r="15" spans="24:27" x14ac:dyDescent="0.35">
      <c r="X15" s="8" t="s">
        <v>8</v>
      </c>
      <c r="Y15" s="8" t="s">
        <v>354</v>
      </c>
      <c r="Z15" s="9">
        <v>3.9</v>
      </c>
      <c r="AA15" s="9">
        <v>1.8</v>
      </c>
    </row>
    <row r="16" spans="24:27" x14ac:dyDescent="0.35">
      <c r="X16" s="8" t="s">
        <v>47</v>
      </c>
      <c r="Y16" s="8" t="s">
        <v>360</v>
      </c>
      <c r="Z16" s="9">
        <v>3.4</v>
      </c>
      <c r="AA16" s="9">
        <v>2.2000000000000002</v>
      </c>
    </row>
    <row r="17" spans="24:27" x14ac:dyDescent="0.35">
      <c r="X17" s="8" t="s">
        <v>48</v>
      </c>
      <c r="Y17" s="8" t="s">
        <v>361</v>
      </c>
      <c r="Z17" s="9">
        <v>2.2999999999999998</v>
      </c>
      <c r="AA17" s="9">
        <v>1.8</v>
      </c>
    </row>
    <row r="18" spans="24:27" x14ac:dyDescent="0.35">
      <c r="X18" s="8" t="s">
        <v>49</v>
      </c>
      <c r="Y18" s="8" t="s">
        <v>362</v>
      </c>
      <c r="Z18" s="9">
        <v>3.3</v>
      </c>
      <c r="AA18" s="9">
        <v>1.5</v>
      </c>
    </row>
    <row r="19" spans="24:27" x14ac:dyDescent="0.35">
      <c r="X19" s="8" t="s">
        <v>56</v>
      </c>
      <c r="Y19" s="8" t="s">
        <v>364</v>
      </c>
      <c r="Z19" s="9">
        <v>3</v>
      </c>
      <c r="AA19" s="9">
        <v>5</v>
      </c>
    </row>
    <row r="20" spans="24:27" x14ac:dyDescent="0.35">
      <c r="X20" s="8" t="s">
        <v>114</v>
      </c>
      <c r="Y20" s="8" t="s">
        <v>379</v>
      </c>
      <c r="Z20" s="9">
        <v>2.7</v>
      </c>
      <c r="AA20" s="9">
        <v>0.7</v>
      </c>
    </row>
    <row r="21" spans="24:27" x14ac:dyDescent="0.35">
      <c r="X21" s="8" t="s">
        <v>174</v>
      </c>
      <c r="Y21" s="8" t="s">
        <v>407</v>
      </c>
      <c r="Z21" s="9">
        <v>2</v>
      </c>
      <c r="AA21" s="9">
        <v>3.7</v>
      </c>
    </row>
    <row r="22" spans="24:27" x14ac:dyDescent="0.35">
      <c r="X22" s="8" t="s">
        <v>115</v>
      </c>
      <c r="Y22" s="8" t="s">
        <v>380</v>
      </c>
      <c r="Z22" s="9">
        <v>0.6</v>
      </c>
      <c r="AA22" s="9">
        <v>4</v>
      </c>
    </row>
    <row r="23" spans="24:27" x14ac:dyDescent="0.35">
      <c r="X23" s="8" t="s">
        <v>116</v>
      </c>
      <c r="Y23" s="8" t="s">
        <v>381</v>
      </c>
      <c r="Z23" s="9">
        <v>4.5999999999999996</v>
      </c>
      <c r="AA23" s="9">
        <v>3.9</v>
      </c>
    </row>
    <row r="24" spans="24:27" x14ac:dyDescent="0.35">
      <c r="X24" s="8" t="s">
        <v>57</v>
      </c>
      <c r="Y24" s="8" t="s">
        <v>365</v>
      </c>
      <c r="Z24" s="9">
        <v>2.6</v>
      </c>
      <c r="AA24" s="9">
        <v>2.6</v>
      </c>
    </row>
    <row r="25" spans="24:27" x14ac:dyDescent="0.35">
      <c r="X25" s="8" t="s">
        <v>117</v>
      </c>
      <c r="Y25" s="8" t="s">
        <v>382</v>
      </c>
      <c r="Z25" s="9">
        <v>2.5</v>
      </c>
      <c r="AA25" s="9">
        <v>3</v>
      </c>
    </row>
    <row r="26" spans="24:27" x14ac:dyDescent="0.35">
      <c r="X26" s="8" t="s">
        <v>118</v>
      </c>
      <c r="Y26" s="8" t="s">
        <v>383</v>
      </c>
      <c r="Z26" s="9">
        <v>4.3</v>
      </c>
      <c r="AA26" s="9">
        <v>2.1</v>
      </c>
    </row>
    <row r="27" spans="24:27" x14ac:dyDescent="0.35">
      <c r="X27" s="8" t="s">
        <v>88</v>
      </c>
      <c r="Y27" s="8" t="s">
        <v>374</v>
      </c>
      <c r="Z27" s="9">
        <v>1.5</v>
      </c>
      <c r="AA27" s="9">
        <v>0.4</v>
      </c>
    </row>
    <row r="28" spans="24:27" x14ac:dyDescent="0.35">
      <c r="X28" s="8" t="s">
        <v>127</v>
      </c>
      <c r="Y28" s="8" t="s">
        <v>384</v>
      </c>
      <c r="Z28" s="9">
        <v>1.8</v>
      </c>
      <c r="AA28" s="9">
        <v>4</v>
      </c>
    </row>
    <row r="29" spans="24:27" x14ac:dyDescent="0.35">
      <c r="X29" s="8" t="s">
        <v>175</v>
      </c>
      <c r="Y29" s="8" t="s">
        <v>408</v>
      </c>
      <c r="Z29" s="9">
        <v>1.6</v>
      </c>
      <c r="AA29" s="9">
        <v>0.3</v>
      </c>
    </row>
    <row r="30" spans="24:27" x14ac:dyDescent="0.35">
      <c r="X30" s="8" t="s">
        <v>55</v>
      </c>
      <c r="Y30" s="8" t="s">
        <v>363</v>
      </c>
      <c r="Z30" s="9">
        <v>3.3</v>
      </c>
      <c r="AA30" s="9">
        <v>3.4</v>
      </c>
    </row>
    <row r="31" spans="24:27" x14ac:dyDescent="0.35">
      <c r="X31" s="8" t="s">
        <v>89</v>
      </c>
      <c r="Y31" s="8" t="s">
        <v>375</v>
      </c>
      <c r="Z31" s="9">
        <v>1.6</v>
      </c>
      <c r="AA31" s="9">
        <v>1.1000000000000001</v>
      </c>
    </row>
    <row r="32" spans="24:27" x14ac:dyDescent="0.35">
      <c r="X32" s="8" t="s">
        <v>131</v>
      </c>
      <c r="Y32" s="8" t="s">
        <v>385</v>
      </c>
      <c r="Z32" s="9">
        <v>3.2</v>
      </c>
      <c r="AA32" s="9">
        <v>0.8</v>
      </c>
    </row>
    <row r="33" spans="24:27" x14ac:dyDescent="0.35">
      <c r="X33" s="8" t="s">
        <v>132</v>
      </c>
      <c r="Y33" s="8" t="s">
        <v>386</v>
      </c>
      <c r="Z33" s="9">
        <v>4.3</v>
      </c>
      <c r="AA33" s="9">
        <v>2.8</v>
      </c>
    </row>
    <row r="34" spans="24:27" x14ac:dyDescent="0.35">
      <c r="X34" s="8" t="s">
        <v>134</v>
      </c>
      <c r="Y34" s="8" t="s">
        <v>387</v>
      </c>
      <c r="Z34" s="9">
        <v>4.5999999999999996</v>
      </c>
      <c r="AA34" s="9">
        <v>3.1</v>
      </c>
    </row>
    <row r="35" spans="24:27" x14ac:dyDescent="0.35">
      <c r="X35" s="8" t="s">
        <v>73</v>
      </c>
      <c r="Y35" s="8" t="s">
        <v>367</v>
      </c>
      <c r="Z35" s="9">
        <v>3.1</v>
      </c>
      <c r="AA35" s="9">
        <v>4.7</v>
      </c>
    </row>
    <row r="36" spans="24:27" x14ac:dyDescent="0.35">
      <c r="X36" s="8" t="s">
        <v>135</v>
      </c>
      <c r="Y36" s="8" t="s">
        <v>388</v>
      </c>
      <c r="Z36" s="9">
        <v>3.4</v>
      </c>
      <c r="AA36" s="9">
        <v>1.9</v>
      </c>
    </row>
    <row r="37" spans="24:27" x14ac:dyDescent="0.35">
      <c r="X37" s="8" t="s">
        <v>80</v>
      </c>
      <c r="Y37" s="8" t="s">
        <v>371</v>
      </c>
      <c r="Z37" s="9">
        <v>2</v>
      </c>
      <c r="AA37" s="9">
        <v>1.7</v>
      </c>
    </row>
    <row r="38" spans="24:27" x14ac:dyDescent="0.35">
      <c r="X38" s="8" t="s">
        <v>81</v>
      </c>
      <c r="Y38" s="8" t="s">
        <v>372</v>
      </c>
      <c r="Z38" s="9">
        <v>3.6</v>
      </c>
      <c r="AA38" s="9">
        <v>0.3</v>
      </c>
    </row>
    <row r="39" spans="24:27" x14ac:dyDescent="0.35">
      <c r="X39" s="8" t="s">
        <v>137</v>
      </c>
      <c r="Y39" s="8" t="s">
        <v>389</v>
      </c>
      <c r="Z39" s="9">
        <v>0.9</v>
      </c>
      <c r="AA39" s="9">
        <v>1.2</v>
      </c>
    </row>
    <row r="40" spans="24:27" x14ac:dyDescent="0.35">
      <c r="X40" s="8" t="s">
        <v>6</v>
      </c>
      <c r="Y40" s="8" t="s">
        <v>353</v>
      </c>
      <c r="Z40" s="9">
        <v>3</v>
      </c>
      <c r="AA40" s="9">
        <v>5</v>
      </c>
    </row>
    <row r="41" spans="24:27" x14ac:dyDescent="0.35">
      <c r="X41" s="8" t="s">
        <v>82</v>
      </c>
      <c r="Y41" s="8" t="s">
        <v>373</v>
      </c>
      <c r="Z41" s="9">
        <v>2</v>
      </c>
      <c r="AA41" s="9">
        <v>2.1</v>
      </c>
    </row>
    <row r="42" spans="24:27" x14ac:dyDescent="0.35">
      <c r="X42" s="8" t="s">
        <v>93</v>
      </c>
      <c r="Y42" s="8" t="s">
        <v>377</v>
      </c>
      <c r="Z42" s="9">
        <v>2.2000000000000002</v>
      </c>
      <c r="AA42" s="9">
        <v>3</v>
      </c>
    </row>
    <row r="43" spans="24:27" x14ac:dyDescent="0.35">
      <c r="X43" s="8" t="s">
        <v>138</v>
      </c>
      <c r="Y43" s="8" t="s">
        <v>390</v>
      </c>
      <c r="Z43" s="9">
        <v>2.1</v>
      </c>
      <c r="AA43" s="9">
        <v>0.9</v>
      </c>
    </row>
    <row r="44" spans="24:27" x14ac:dyDescent="0.35">
      <c r="X44" s="8" t="s">
        <v>92</v>
      </c>
      <c r="Y44" s="8" t="s">
        <v>376</v>
      </c>
      <c r="Z44" s="9">
        <v>4.4000000000000004</v>
      </c>
      <c r="AA44" s="9">
        <v>2.5</v>
      </c>
    </row>
    <row r="45" spans="24:27" x14ac:dyDescent="0.35">
      <c r="X45" s="8" t="s">
        <v>141</v>
      </c>
      <c r="Y45" s="8" t="s">
        <v>393</v>
      </c>
      <c r="Z45" s="9">
        <v>4.5</v>
      </c>
      <c r="AA45" s="9">
        <v>1.2</v>
      </c>
    </row>
    <row r="46" spans="24:27" x14ac:dyDescent="0.35">
      <c r="X46" s="8" t="s">
        <v>139</v>
      </c>
      <c r="Y46" s="8" t="s">
        <v>391</v>
      </c>
      <c r="Z46" s="9">
        <v>1.6</v>
      </c>
      <c r="AA46" s="9">
        <v>2</v>
      </c>
    </row>
    <row r="47" spans="24:27" x14ac:dyDescent="0.35">
      <c r="X47" s="8" t="s">
        <v>140</v>
      </c>
      <c r="Y47" s="8" t="s">
        <v>392</v>
      </c>
      <c r="Z47" s="9">
        <v>1.8</v>
      </c>
      <c r="AA47" s="9">
        <v>2.7</v>
      </c>
    </row>
    <row r="48" spans="24:27" x14ac:dyDescent="0.35">
      <c r="X48" s="8" t="s">
        <v>146</v>
      </c>
      <c r="Y48" s="8" t="s">
        <v>398</v>
      </c>
      <c r="Z48" s="9">
        <v>0.9</v>
      </c>
      <c r="AA48" s="9">
        <v>2.2000000000000002</v>
      </c>
    </row>
    <row r="49" spans="24:27" x14ac:dyDescent="0.35">
      <c r="X49" s="8" t="s">
        <v>161</v>
      </c>
      <c r="Y49" s="8" t="s">
        <v>401</v>
      </c>
      <c r="Z49" s="9">
        <v>1.4</v>
      </c>
      <c r="AA49" s="9">
        <v>2.8</v>
      </c>
    </row>
    <row r="50" spans="24:27" x14ac:dyDescent="0.35">
      <c r="X50" s="8" t="s">
        <v>76</v>
      </c>
      <c r="Y50" s="8" t="s">
        <v>368</v>
      </c>
      <c r="Z50" s="9">
        <v>2.2999999999999998</v>
      </c>
      <c r="AA50" s="9">
        <v>3.8</v>
      </c>
    </row>
    <row r="51" spans="24:27" x14ac:dyDescent="0.35">
      <c r="X51" s="8" t="s">
        <v>164</v>
      </c>
      <c r="Y51" s="8" t="s">
        <v>402</v>
      </c>
      <c r="Z51" s="9">
        <v>1.6</v>
      </c>
      <c r="AA51" s="9">
        <v>4.5</v>
      </c>
    </row>
    <row r="52" spans="24:27" x14ac:dyDescent="0.35">
      <c r="X52" s="8" t="s">
        <v>177</v>
      </c>
      <c r="Y52" s="8" t="s">
        <v>409</v>
      </c>
      <c r="Z52" s="9">
        <v>1.1000000000000001</v>
      </c>
      <c r="AA52" s="9">
        <v>2.4</v>
      </c>
    </row>
    <row r="53" spans="24:27" x14ac:dyDescent="0.35">
      <c r="X53" s="8" t="s">
        <v>165</v>
      </c>
      <c r="Y53" s="8" t="s">
        <v>403</v>
      </c>
      <c r="Z53" s="9">
        <v>3.1</v>
      </c>
      <c r="AA53" s="9">
        <v>0.2</v>
      </c>
    </row>
    <row r="54" spans="24:27" x14ac:dyDescent="0.35">
      <c r="X54" s="8" t="s">
        <v>142</v>
      </c>
      <c r="Y54" s="8" t="s">
        <v>394</v>
      </c>
      <c r="Z54" s="9">
        <v>1.9</v>
      </c>
      <c r="AA54" s="9">
        <v>0.6</v>
      </c>
    </row>
    <row r="55" spans="24:27" x14ac:dyDescent="0.35">
      <c r="X55" s="8" t="s">
        <v>160</v>
      </c>
      <c r="Y55" s="8" t="s">
        <v>400</v>
      </c>
      <c r="Z55" s="9">
        <v>4.7</v>
      </c>
      <c r="AA55" s="9">
        <v>0.7</v>
      </c>
    </row>
    <row r="56" spans="24:27" x14ac:dyDescent="0.35">
      <c r="X56" s="8" t="s">
        <v>77</v>
      </c>
      <c r="Y56" s="8" t="s">
        <v>369</v>
      </c>
      <c r="Z56" s="9">
        <v>3.2</v>
      </c>
      <c r="AA56" s="9">
        <v>0.1</v>
      </c>
    </row>
    <row r="57" spans="24:27" x14ac:dyDescent="0.35">
      <c r="X57" s="8" t="s">
        <v>59</v>
      </c>
      <c r="Y57" s="8" t="s">
        <v>366</v>
      </c>
      <c r="Z57" s="9">
        <v>3.4</v>
      </c>
      <c r="AA57" s="9">
        <v>0.5</v>
      </c>
    </row>
    <row r="58" spans="24:27" x14ac:dyDescent="0.35">
      <c r="X58" s="8" t="s">
        <v>143</v>
      </c>
      <c r="Y58" s="8" t="s">
        <v>395</v>
      </c>
      <c r="Z58" s="9">
        <v>1.7</v>
      </c>
      <c r="AA58" s="9">
        <v>2.2999999999999998</v>
      </c>
    </row>
    <row r="59" spans="24:27" x14ac:dyDescent="0.35">
      <c r="X59" s="8" t="s">
        <v>144</v>
      </c>
      <c r="Y59" s="8" t="s">
        <v>396</v>
      </c>
      <c r="Z59" s="9">
        <v>0.5</v>
      </c>
      <c r="AA59" s="9">
        <v>0.3</v>
      </c>
    </row>
    <row r="60" spans="24:27" x14ac:dyDescent="0.35">
      <c r="X60" s="8" t="s">
        <v>145</v>
      </c>
      <c r="Y60" s="8" t="s">
        <v>397</v>
      </c>
      <c r="Z60" s="9">
        <v>5</v>
      </c>
      <c r="AA60" s="9">
        <v>3.4</v>
      </c>
    </row>
    <row r="61" spans="24:27" x14ac:dyDescent="0.35">
      <c r="X61" s="8" t="s">
        <v>167</v>
      </c>
      <c r="Y61" s="8" t="s">
        <v>404</v>
      </c>
      <c r="Z61" s="9">
        <v>0.9</v>
      </c>
      <c r="AA61" s="9">
        <v>3</v>
      </c>
    </row>
    <row r="62" spans="24:27" x14ac:dyDescent="0.35">
      <c r="X62" s="8" t="s">
        <v>159</v>
      </c>
      <c r="Y62" s="8" t="s">
        <v>399</v>
      </c>
      <c r="Z62" s="9">
        <v>2.7</v>
      </c>
      <c r="AA62" s="9">
        <v>4.5</v>
      </c>
    </row>
    <row r="63" spans="24:27" x14ac:dyDescent="0.35">
      <c r="X63"/>
      <c r="Y63"/>
      <c r="Z63"/>
      <c r="AA63"/>
    </row>
    <row r="64" spans="24:27" x14ac:dyDescent="0.35">
      <c r="X64"/>
      <c r="Y64"/>
      <c r="Z64"/>
      <c r="AA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K19"/>
  <sheetViews>
    <sheetView workbookViewId="0">
      <selection activeCell="D19" sqref="D19"/>
    </sheetView>
  </sheetViews>
  <sheetFormatPr defaultRowHeight="14.5" x14ac:dyDescent="0.35"/>
  <cols>
    <col min="3" max="3" width="12.6328125" bestFit="1" customWidth="1"/>
    <col min="4" max="4" width="11.36328125" bestFit="1" customWidth="1"/>
    <col min="8" max="8" width="13.1796875" bestFit="1" customWidth="1"/>
    <col min="9" max="9" width="16.7265625" bestFit="1" customWidth="1"/>
    <col min="12" max="12" width="22.81640625" bestFit="1" customWidth="1"/>
    <col min="13" max="13" width="19.1796875" bestFit="1" customWidth="1"/>
    <col min="14" max="14" width="16.7265625" bestFit="1" customWidth="1"/>
    <col min="15" max="15" width="15.81640625" bestFit="1" customWidth="1"/>
  </cols>
  <sheetData>
    <row r="4" spans="3:11" x14ac:dyDescent="0.35">
      <c r="C4" s="6" t="s">
        <v>4</v>
      </c>
      <c r="D4" t="s">
        <v>5</v>
      </c>
      <c r="H4" s="6" t="s">
        <v>4</v>
      </c>
      <c r="I4" t="s">
        <v>23</v>
      </c>
      <c r="J4" s="1"/>
      <c r="K4" s="1"/>
    </row>
    <row r="5" spans="3:11" x14ac:dyDescent="0.35">
      <c r="C5" s="3" t="s">
        <v>7</v>
      </c>
      <c r="D5">
        <v>11</v>
      </c>
      <c r="H5" s="3">
        <v>2014</v>
      </c>
      <c r="I5" s="5">
        <v>2.51566265060241</v>
      </c>
      <c r="J5" s="4"/>
    </row>
    <row r="6" spans="3:11" x14ac:dyDescent="0.35">
      <c r="C6" s="3" t="s">
        <v>9</v>
      </c>
      <c r="D6">
        <v>27</v>
      </c>
      <c r="H6" s="3">
        <v>2015</v>
      </c>
      <c r="I6" s="5">
        <v>2.8210843373493968</v>
      </c>
      <c r="J6" s="4"/>
    </row>
    <row r="7" spans="3:11" x14ac:dyDescent="0.35">
      <c r="C7" s="3" t="s">
        <v>11</v>
      </c>
      <c r="D7">
        <v>48</v>
      </c>
      <c r="H7" s="3">
        <v>2016</v>
      </c>
      <c r="I7" s="5">
        <v>2.4512048192771081</v>
      </c>
      <c r="J7" s="4"/>
    </row>
    <row r="8" spans="3:11" x14ac:dyDescent="0.35">
      <c r="C8" s="3" t="s">
        <v>13</v>
      </c>
      <c r="D8">
        <v>55</v>
      </c>
      <c r="H8" s="3" t="s">
        <v>17</v>
      </c>
      <c r="I8" s="5">
        <v>2.5959839357429737</v>
      </c>
      <c r="J8" s="4"/>
    </row>
    <row r="9" spans="3:11" x14ac:dyDescent="0.35">
      <c r="C9" s="3" t="s">
        <v>15</v>
      </c>
      <c r="D9">
        <v>25</v>
      </c>
      <c r="H9" s="1"/>
      <c r="I9" s="1"/>
      <c r="J9" s="4"/>
    </row>
    <row r="10" spans="3:11" x14ac:dyDescent="0.35">
      <c r="C10" s="3" t="s">
        <v>17</v>
      </c>
      <c r="D10">
        <v>166</v>
      </c>
      <c r="H10" s="1"/>
      <c r="I10" s="1"/>
      <c r="J10" s="4"/>
    </row>
    <row r="11" spans="3:11" x14ac:dyDescent="0.35">
      <c r="H11" s="1"/>
      <c r="I11" s="1"/>
      <c r="J11" s="4"/>
    </row>
    <row r="12" spans="3:11" x14ac:dyDescent="0.35">
      <c r="G12" s="1"/>
      <c r="H12" s="1"/>
      <c r="I12" s="1"/>
      <c r="J12" s="4"/>
    </row>
    <row r="13" spans="3:11" x14ac:dyDescent="0.35">
      <c r="G13" s="1"/>
      <c r="H13" s="1"/>
      <c r="I13" s="1"/>
      <c r="J13" s="4"/>
    </row>
    <row r="14" spans="3:11" x14ac:dyDescent="0.35">
      <c r="E14" s="1"/>
      <c r="F14" s="1"/>
      <c r="G14" s="1"/>
      <c r="H14" s="1"/>
      <c r="I14" s="1"/>
      <c r="J14" s="4"/>
    </row>
    <row r="15" spans="3:11" x14ac:dyDescent="0.35">
      <c r="E15" s="1"/>
      <c r="F15" s="1"/>
      <c r="G15" s="1"/>
      <c r="H15" s="1"/>
      <c r="I15" s="1"/>
      <c r="J15" s="1"/>
    </row>
    <row r="16" spans="3:11" x14ac:dyDescent="0.35">
      <c r="C16" s="1"/>
      <c r="D16" s="1"/>
      <c r="E16" s="1"/>
      <c r="F16" s="1"/>
      <c r="G16" s="1"/>
      <c r="H16" s="1"/>
      <c r="I16" s="1"/>
      <c r="J16" s="1"/>
    </row>
    <row r="17" spans="3:8" x14ac:dyDescent="0.35">
      <c r="C17" s="1"/>
      <c r="D17" s="1"/>
      <c r="E17" s="1"/>
      <c r="F17" s="1"/>
      <c r="G17" s="1"/>
      <c r="H17" s="1"/>
    </row>
    <row r="18" spans="3:8" x14ac:dyDescent="0.35">
      <c r="C18" s="1"/>
      <c r="D18" s="1"/>
      <c r="E18" s="1"/>
      <c r="F18" s="1"/>
      <c r="G18" s="1"/>
      <c r="H18" s="1"/>
    </row>
    <row r="19" spans="3:8" x14ac:dyDescent="0.35">
      <c r="C19" s="1"/>
      <c r="D19" s="1"/>
      <c r="E19" s="1"/>
      <c r="F19" s="1"/>
      <c r="G19" s="1"/>
      <c r="H1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9"/>
  <sheetViews>
    <sheetView showGridLines="0" workbookViewId="0">
      <selection activeCell="D1" sqref="D1"/>
    </sheetView>
  </sheetViews>
  <sheetFormatPr defaultColWidth="9.1796875" defaultRowHeight="14.5" x14ac:dyDescent="0.35"/>
  <cols>
    <col min="1" max="1" width="9.1796875" style="1"/>
    <col min="2" max="2" width="16.54296875" style="11" bestFit="1" customWidth="1"/>
    <col min="3" max="3" width="14.7265625" style="1" bestFit="1" customWidth="1"/>
    <col min="4" max="4" width="12.7265625" style="1" customWidth="1"/>
    <col min="5" max="5" width="15.81640625" style="1" bestFit="1" customWidth="1"/>
    <col min="6" max="6" width="13.1796875" style="1" customWidth="1"/>
    <col min="7" max="7" width="11.81640625" style="1" customWidth="1"/>
    <col min="8" max="8" width="8.7265625" style="1" customWidth="1"/>
    <col min="9" max="9" width="5" style="1" customWidth="1"/>
    <col min="10" max="10" width="11.26953125" style="1" bestFit="1" customWidth="1"/>
    <col min="11" max="11" width="9.1796875" style="1"/>
    <col min="12" max="12" width="13.1796875" style="1" bestFit="1" customWidth="1"/>
    <col min="13" max="13" width="11.81640625" style="1" bestFit="1" customWidth="1"/>
    <col min="14" max="16" width="9.1796875" style="1"/>
    <col min="17" max="17" width="13.1796875" style="1" customWidth="1"/>
    <col min="18" max="18" width="16.7265625" style="1" bestFit="1" customWidth="1"/>
    <col min="19" max="16384" width="9.1796875" style="1"/>
  </cols>
  <sheetData>
    <row r="1" spans="1:8" x14ac:dyDescent="0.35">
      <c r="A1" s="1" t="s">
        <v>0</v>
      </c>
      <c r="B1" s="11" t="s">
        <v>178</v>
      </c>
      <c r="C1" s="1" t="s">
        <v>1</v>
      </c>
      <c r="D1" s="1" t="s">
        <v>2</v>
      </c>
      <c r="E1" s="7" t="s">
        <v>179</v>
      </c>
      <c r="F1" s="7" t="s">
        <v>180</v>
      </c>
      <c r="G1" s="1" t="s">
        <v>352</v>
      </c>
      <c r="H1" s="1" t="s">
        <v>410</v>
      </c>
    </row>
    <row r="2" spans="1:8" x14ac:dyDescent="0.35">
      <c r="A2" s="2" t="s">
        <v>3</v>
      </c>
      <c r="B2" s="11">
        <v>2016</v>
      </c>
      <c r="C2" s="1">
        <v>3.3</v>
      </c>
      <c r="D2" s="1">
        <v>2.5</v>
      </c>
      <c r="E2" s="7" t="s">
        <v>181</v>
      </c>
      <c r="F2" s="7" t="s">
        <v>182</v>
      </c>
      <c r="G2" s="1" t="str">
        <f t="shared" ref="G2:G65" si="0">LEFT(F2,FIND(" ",F2)-1)</f>
        <v>Rufus</v>
      </c>
      <c r="H2" s="1" t="str">
        <f t="shared" ref="H2:H65" si="1">FLOOR(C2,2)&amp;FLOOR(D2,2)</f>
        <v>22</v>
      </c>
    </row>
    <row r="3" spans="1:8" x14ac:dyDescent="0.35">
      <c r="A3" s="2" t="s">
        <v>6</v>
      </c>
      <c r="B3" s="11">
        <v>2016</v>
      </c>
      <c r="C3" s="1">
        <v>2</v>
      </c>
      <c r="D3" s="1">
        <v>1.2</v>
      </c>
      <c r="E3" s="7" t="s">
        <v>183</v>
      </c>
      <c r="F3" s="7" t="s">
        <v>184</v>
      </c>
      <c r="G3" s="1" t="str">
        <f t="shared" si="0"/>
        <v>Woodrow</v>
      </c>
      <c r="H3" s="1" t="str">
        <f t="shared" si="1"/>
        <v>20</v>
      </c>
    </row>
    <row r="4" spans="1:8" x14ac:dyDescent="0.35">
      <c r="A4" s="2" t="s">
        <v>8</v>
      </c>
      <c r="B4" s="11">
        <v>2016</v>
      </c>
      <c r="C4" s="1">
        <v>4.5</v>
      </c>
      <c r="D4" s="1">
        <v>2.8</v>
      </c>
      <c r="E4" s="7" t="s">
        <v>183</v>
      </c>
      <c r="F4" s="7" t="s">
        <v>185</v>
      </c>
      <c r="G4" s="1" t="str">
        <f t="shared" si="0"/>
        <v>Leland</v>
      </c>
      <c r="H4" s="1" t="str">
        <f t="shared" si="1"/>
        <v>42</v>
      </c>
    </row>
    <row r="5" spans="1:8" x14ac:dyDescent="0.35">
      <c r="A5" s="2" t="s">
        <v>10</v>
      </c>
      <c r="B5" s="11">
        <v>2016</v>
      </c>
      <c r="C5" s="1">
        <v>0.5</v>
      </c>
      <c r="D5" s="1">
        <v>2.8</v>
      </c>
      <c r="E5" s="7" t="s">
        <v>186</v>
      </c>
      <c r="F5" s="7" t="s">
        <v>187</v>
      </c>
      <c r="G5" s="1" t="str">
        <f t="shared" si="0"/>
        <v>Levi</v>
      </c>
      <c r="H5" s="1" t="str">
        <f t="shared" si="1"/>
        <v>02</v>
      </c>
    </row>
    <row r="6" spans="1:8" x14ac:dyDescent="0.35">
      <c r="A6" s="2" t="s">
        <v>12</v>
      </c>
      <c r="B6" s="11">
        <v>2016</v>
      </c>
      <c r="C6" s="1">
        <v>4.3</v>
      </c>
      <c r="D6" s="1">
        <v>1.1000000000000001</v>
      </c>
      <c r="E6" s="7" t="s">
        <v>186</v>
      </c>
      <c r="F6" s="7" t="s">
        <v>188</v>
      </c>
      <c r="G6" s="1" t="str">
        <f t="shared" si="0"/>
        <v>Marcos</v>
      </c>
      <c r="H6" s="1" t="str">
        <f t="shared" si="1"/>
        <v>40</v>
      </c>
    </row>
    <row r="7" spans="1:8" x14ac:dyDescent="0.35">
      <c r="A7" s="2" t="s">
        <v>14</v>
      </c>
      <c r="B7" s="11">
        <v>2016</v>
      </c>
      <c r="C7" s="1">
        <v>3.3</v>
      </c>
      <c r="D7" s="1">
        <v>2.2000000000000002</v>
      </c>
      <c r="E7" s="7" t="s">
        <v>186</v>
      </c>
      <c r="F7" s="7" t="s">
        <v>189</v>
      </c>
      <c r="G7" s="1" t="str">
        <f t="shared" si="0"/>
        <v>Al</v>
      </c>
      <c r="H7" s="1" t="str">
        <f t="shared" si="1"/>
        <v>22</v>
      </c>
    </row>
    <row r="8" spans="1:8" x14ac:dyDescent="0.35">
      <c r="A8" s="2" t="s">
        <v>16</v>
      </c>
      <c r="B8" s="11">
        <v>2016</v>
      </c>
      <c r="C8" s="1">
        <v>2.1</v>
      </c>
      <c r="D8" s="1">
        <v>1.7</v>
      </c>
      <c r="E8" s="7" t="s">
        <v>186</v>
      </c>
      <c r="F8" s="7" t="s">
        <v>190</v>
      </c>
      <c r="G8" s="1" t="str">
        <f t="shared" si="0"/>
        <v>Gustavo</v>
      </c>
      <c r="H8" s="1" t="str">
        <f t="shared" si="1"/>
        <v>20</v>
      </c>
    </row>
    <row r="9" spans="1:8" x14ac:dyDescent="0.35">
      <c r="A9" s="2" t="s">
        <v>18</v>
      </c>
      <c r="B9" s="11">
        <v>2016</v>
      </c>
      <c r="C9" s="1">
        <v>3.4</v>
      </c>
      <c r="D9" s="1">
        <v>1.3</v>
      </c>
      <c r="E9" s="7" t="s">
        <v>186</v>
      </c>
      <c r="F9" s="7" t="s">
        <v>191</v>
      </c>
      <c r="G9" s="1" t="str">
        <f t="shared" si="0"/>
        <v>Jake</v>
      </c>
      <c r="H9" s="1" t="str">
        <f t="shared" si="1"/>
        <v>20</v>
      </c>
    </row>
    <row r="10" spans="1:8" x14ac:dyDescent="0.35">
      <c r="A10" s="2" t="s">
        <v>19</v>
      </c>
      <c r="B10" s="11">
        <v>2016</v>
      </c>
      <c r="C10" s="1">
        <v>2</v>
      </c>
      <c r="D10" s="1">
        <v>0.9</v>
      </c>
      <c r="E10" s="7" t="s">
        <v>186</v>
      </c>
      <c r="F10" s="7" t="s">
        <v>192</v>
      </c>
      <c r="G10" s="1" t="str">
        <f t="shared" si="0"/>
        <v>Lionel</v>
      </c>
      <c r="H10" s="1" t="str">
        <f t="shared" si="1"/>
        <v>20</v>
      </c>
    </row>
    <row r="11" spans="1:8" x14ac:dyDescent="0.35">
      <c r="A11" s="2" t="s">
        <v>20</v>
      </c>
      <c r="B11" s="11">
        <v>2016</v>
      </c>
      <c r="C11" s="1">
        <v>3.2</v>
      </c>
      <c r="D11" s="1">
        <v>1</v>
      </c>
      <c r="E11" s="7" t="s">
        <v>186</v>
      </c>
      <c r="F11" s="7" t="s">
        <v>193</v>
      </c>
      <c r="G11" s="1" t="str">
        <f t="shared" si="0"/>
        <v>Marty</v>
      </c>
      <c r="H11" s="1" t="str">
        <f t="shared" si="1"/>
        <v>20</v>
      </c>
    </row>
    <row r="12" spans="1:8" x14ac:dyDescent="0.35">
      <c r="A12" s="2" t="s">
        <v>21</v>
      </c>
      <c r="B12" s="11">
        <v>2016</v>
      </c>
      <c r="C12" s="1">
        <v>1.6</v>
      </c>
      <c r="D12" s="1">
        <v>2.8</v>
      </c>
      <c r="E12" s="7" t="s">
        <v>186</v>
      </c>
      <c r="F12" s="7" t="s">
        <v>194</v>
      </c>
      <c r="G12" s="1" t="str">
        <f t="shared" si="0"/>
        <v>Darrel</v>
      </c>
      <c r="H12" s="1" t="str">
        <f t="shared" si="1"/>
        <v>02</v>
      </c>
    </row>
    <row r="13" spans="1:8" x14ac:dyDescent="0.35">
      <c r="A13" s="2" t="s">
        <v>22</v>
      </c>
      <c r="B13" s="11">
        <v>2016</v>
      </c>
      <c r="C13" s="1">
        <v>0.3</v>
      </c>
      <c r="D13" s="1">
        <v>2.7</v>
      </c>
      <c r="E13" s="7" t="s">
        <v>195</v>
      </c>
      <c r="F13" s="7" t="s">
        <v>196</v>
      </c>
      <c r="G13" s="1" t="str">
        <f t="shared" si="0"/>
        <v>Isaac</v>
      </c>
      <c r="H13" s="1" t="str">
        <f t="shared" si="1"/>
        <v>02</v>
      </c>
    </row>
    <row r="14" spans="1:8" x14ac:dyDescent="0.35">
      <c r="A14" s="2" t="s">
        <v>24</v>
      </c>
      <c r="B14" s="11">
        <v>2016</v>
      </c>
      <c r="C14" s="1">
        <v>1.8</v>
      </c>
      <c r="D14" s="1">
        <v>1</v>
      </c>
      <c r="E14" s="7" t="s">
        <v>181</v>
      </c>
      <c r="F14" s="7" t="s">
        <v>197</v>
      </c>
      <c r="G14" s="1" t="str">
        <f t="shared" si="0"/>
        <v>Cleveland</v>
      </c>
      <c r="H14" s="1" t="str">
        <f t="shared" si="1"/>
        <v>00</v>
      </c>
    </row>
    <row r="15" spans="1:8" x14ac:dyDescent="0.35">
      <c r="A15" s="2" t="s">
        <v>25</v>
      </c>
      <c r="B15" s="11">
        <v>2016</v>
      </c>
      <c r="C15" s="1">
        <v>4.8</v>
      </c>
      <c r="D15" s="1">
        <v>1.2</v>
      </c>
      <c r="E15" s="7" t="s">
        <v>186</v>
      </c>
      <c r="F15" s="7" t="s">
        <v>198</v>
      </c>
      <c r="G15" s="1" t="str">
        <f t="shared" si="0"/>
        <v>Sheldon</v>
      </c>
      <c r="H15" s="1" t="str">
        <f t="shared" si="1"/>
        <v>40</v>
      </c>
    </row>
    <row r="16" spans="1:8" x14ac:dyDescent="0.35">
      <c r="A16" s="2" t="s">
        <v>26</v>
      </c>
      <c r="B16" s="11">
        <v>2016</v>
      </c>
      <c r="C16" s="1">
        <v>4.3</v>
      </c>
      <c r="D16" s="1">
        <v>2.8</v>
      </c>
      <c r="E16" s="7" t="s">
        <v>186</v>
      </c>
      <c r="F16" s="7" t="s">
        <v>199</v>
      </c>
      <c r="G16" s="1" t="str">
        <f t="shared" si="0"/>
        <v>Erick</v>
      </c>
      <c r="H16" s="1" t="str">
        <f t="shared" si="1"/>
        <v>42</v>
      </c>
    </row>
    <row r="17" spans="1:18" x14ac:dyDescent="0.35">
      <c r="A17" s="2" t="s">
        <v>27</v>
      </c>
      <c r="B17" s="11">
        <v>2016</v>
      </c>
      <c r="C17" s="1">
        <v>2.1</v>
      </c>
      <c r="D17" s="1">
        <v>2</v>
      </c>
      <c r="E17" s="7" t="s">
        <v>181</v>
      </c>
      <c r="F17" s="7" t="s">
        <v>200</v>
      </c>
      <c r="G17" s="1" t="str">
        <f t="shared" si="0"/>
        <v>Lamont</v>
      </c>
      <c r="H17" s="1" t="str">
        <f t="shared" si="1"/>
        <v>22</v>
      </c>
    </row>
    <row r="18" spans="1:18" x14ac:dyDescent="0.35">
      <c r="A18" s="2" t="s">
        <v>28</v>
      </c>
      <c r="B18" s="11">
        <v>2016</v>
      </c>
      <c r="C18" s="1">
        <v>3.3</v>
      </c>
      <c r="D18" s="1">
        <v>2.4</v>
      </c>
      <c r="E18" s="7" t="s">
        <v>186</v>
      </c>
      <c r="F18" s="7" t="s">
        <v>201</v>
      </c>
      <c r="G18" s="1" t="str">
        <f t="shared" si="0"/>
        <v>Doyle</v>
      </c>
      <c r="H18" s="1" t="str">
        <f t="shared" si="1"/>
        <v>22</v>
      </c>
      <c r="L18"/>
      <c r="M18"/>
      <c r="N18"/>
      <c r="Q18"/>
      <c r="R18"/>
    </row>
    <row r="19" spans="1:18" x14ac:dyDescent="0.35">
      <c r="A19" s="2" t="s">
        <v>29</v>
      </c>
      <c r="B19" s="11">
        <v>2016</v>
      </c>
      <c r="C19" s="1">
        <v>3.2</v>
      </c>
      <c r="D19" s="1">
        <v>2.7</v>
      </c>
      <c r="E19" s="7" t="s">
        <v>186</v>
      </c>
      <c r="F19" s="7" t="s">
        <v>202</v>
      </c>
      <c r="G19" s="1" t="str">
        <f t="shared" si="0"/>
        <v>Dexter</v>
      </c>
      <c r="H19" s="1" t="str">
        <f t="shared" si="1"/>
        <v>22</v>
      </c>
      <c r="L19"/>
      <c r="M19"/>
      <c r="N19"/>
      <c r="Q19"/>
      <c r="R19"/>
    </row>
    <row r="20" spans="1:18" x14ac:dyDescent="0.35">
      <c r="A20" s="2" t="s">
        <v>30</v>
      </c>
      <c r="B20" s="11">
        <v>2016</v>
      </c>
      <c r="C20" s="1">
        <v>4.3</v>
      </c>
      <c r="D20" s="1">
        <v>2.9</v>
      </c>
      <c r="E20" s="7" t="s">
        <v>186</v>
      </c>
      <c r="F20" s="7" t="s">
        <v>203</v>
      </c>
      <c r="G20" s="1" t="str">
        <f t="shared" si="0"/>
        <v>Stewart</v>
      </c>
      <c r="H20" s="1" t="str">
        <f t="shared" si="1"/>
        <v>42</v>
      </c>
      <c r="L20"/>
      <c r="M20"/>
      <c r="N20"/>
    </row>
    <row r="21" spans="1:18" x14ac:dyDescent="0.35">
      <c r="A21" s="2" t="s">
        <v>31</v>
      </c>
      <c r="B21" s="11">
        <v>2016</v>
      </c>
      <c r="C21" s="1">
        <v>1.3</v>
      </c>
      <c r="D21" s="1">
        <v>2.1</v>
      </c>
      <c r="E21" s="7" t="s">
        <v>183</v>
      </c>
      <c r="F21" s="7" t="s">
        <v>204</v>
      </c>
      <c r="G21" s="1" t="str">
        <f t="shared" si="0"/>
        <v>Efrain</v>
      </c>
      <c r="H21" s="1" t="str">
        <f t="shared" si="1"/>
        <v>02</v>
      </c>
    </row>
    <row r="22" spans="1:18" x14ac:dyDescent="0.35">
      <c r="A22" s="2" t="s">
        <v>32</v>
      </c>
      <c r="B22" s="11">
        <v>2016</v>
      </c>
      <c r="C22" s="1">
        <v>4.2</v>
      </c>
      <c r="D22" s="1">
        <v>1.6</v>
      </c>
      <c r="E22" s="7" t="s">
        <v>183</v>
      </c>
      <c r="F22" s="7" t="s">
        <v>205</v>
      </c>
      <c r="G22" s="1" t="str">
        <f t="shared" si="0"/>
        <v>Billie</v>
      </c>
      <c r="H22" s="1" t="str">
        <f t="shared" si="1"/>
        <v>40</v>
      </c>
    </row>
    <row r="23" spans="1:18" x14ac:dyDescent="0.35">
      <c r="A23" s="2" t="s">
        <v>33</v>
      </c>
      <c r="B23" s="11">
        <v>2016</v>
      </c>
      <c r="C23" s="1">
        <v>1.8</v>
      </c>
      <c r="D23" s="1">
        <v>2.9</v>
      </c>
      <c r="E23" s="7" t="s">
        <v>186</v>
      </c>
      <c r="F23" s="7" t="s">
        <v>206</v>
      </c>
      <c r="G23" s="1" t="str">
        <f t="shared" si="0"/>
        <v>Elias</v>
      </c>
      <c r="H23" s="1" t="str">
        <f t="shared" si="1"/>
        <v>02</v>
      </c>
    </row>
    <row r="24" spans="1:18" x14ac:dyDescent="0.35">
      <c r="A24" s="2" t="s">
        <v>34</v>
      </c>
      <c r="B24" s="11">
        <v>2016</v>
      </c>
      <c r="C24" s="1">
        <v>0.7</v>
      </c>
      <c r="D24" s="1">
        <v>4.5</v>
      </c>
      <c r="E24" s="7" t="s">
        <v>186</v>
      </c>
      <c r="F24" s="7" t="s">
        <v>207</v>
      </c>
      <c r="G24" s="1" t="str">
        <f t="shared" si="0"/>
        <v>Elbert</v>
      </c>
      <c r="H24" s="1" t="str">
        <f t="shared" si="1"/>
        <v>04</v>
      </c>
    </row>
    <row r="25" spans="1:18" x14ac:dyDescent="0.35">
      <c r="A25" s="2" t="s">
        <v>35</v>
      </c>
      <c r="B25" s="11">
        <v>2016</v>
      </c>
      <c r="C25" s="1">
        <v>2.9</v>
      </c>
      <c r="D25" s="1">
        <v>1.8</v>
      </c>
      <c r="E25" s="7" t="s">
        <v>186</v>
      </c>
      <c r="F25" s="7" t="s">
        <v>208</v>
      </c>
      <c r="G25" s="1" t="str">
        <f t="shared" si="0"/>
        <v>Noah</v>
      </c>
      <c r="H25" s="1" t="str">
        <f t="shared" si="1"/>
        <v>20</v>
      </c>
    </row>
    <row r="26" spans="1:18" x14ac:dyDescent="0.35">
      <c r="A26" s="2" t="s">
        <v>36</v>
      </c>
      <c r="B26" s="11">
        <v>2016</v>
      </c>
      <c r="C26" s="1">
        <v>4.7</v>
      </c>
      <c r="D26" s="1">
        <v>2.9</v>
      </c>
      <c r="E26" s="7" t="s">
        <v>195</v>
      </c>
      <c r="F26" s="7" t="s">
        <v>209</v>
      </c>
      <c r="G26" s="1" t="str">
        <f t="shared" si="0"/>
        <v>Clay</v>
      </c>
      <c r="H26" s="1" t="str">
        <f t="shared" si="1"/>
        <v>42</v>
      </c>
    </row>
    <row r="27" spans="1:18" x14ac:dyDescent="0.35">
      <c r="A27" s="2" t="s">
        <v>37</v>
      </c>
      <c r="B27" s="11">
        <v>2016</v>
      </c>
      <c r="C27" s="1">
        <v>0.1</v>
      </c>
      <c r="D27" s="1">
        <v>0.5</v>
      </c>
      <c r="E27" s="7" t="s">
        <v>183</v>
      </c>
      <c r="F27" s="7" t="s">
        <v>210</v>
      </c>
      <c r="G27" s="1" t="str">
        <f t="shared" si="0"/>
        <v>Garland</v>
      </c>
      <c r="H27" s="1" t="str">
        <f t="shared" si="1"/>
        <v>00</v>
      </c>
    </row>
    <row r="28" spans="1:18" x14ac:dyDescent="0.35">
      <c r="A28" s="2" t="s">
        <v>38</v>
      </c>
      <c r="B28" s="11">
        <v>2016</v>
      </c>
      <c r="C28" s="1">
        <v>4.5</v>
      </c>
      <c r="D28" s="1">
        <v>0.6</v>
      </c>
      <c r="E28" s="7" t="s">
        <v>183</v>
      </c>
      <c r="F28" s="7" t="s">
        <v>211</v>
      </c>
      <c r="G28" s="1" t="str">
        <f t="shared" si="0"/>
        <v>Miles</v>
      </c>
      <c r="H28" s="1" t="str">
        <f t="shared" si="1"/>
        <v>40</v>
      </c>
    </row>
    <row r="29" spans="1:18" x14ac:dyDescent="0.35">
      <c r="A29" s="2" t="s">
        <v>39</v>
      </c>
      <c r="B29" s="11">
        <v>2016</v>
      </c>
      <c r="C29" s="1">
        <v>4.8</v>
      </c>
      <c r="D29" s="1">
        <v>4</v>
      </c>
      <c r="E29" s="7" t="s">
        <v>183</v>
      </c>
      <c r="F29" s="7" t="s">
        <v>212</v>
      </c>
      <c r="G29" s="1" t="str">
        <f t="shared" si="0"/>
        <v>Micah</v>
      </c>
      <c r="H29" s="1" t="str">
        <f t="shared" si="1"/>
        <v>44</v>
      </c>
    </row>
    <row r="30" spans="1:18" x14ac:dyDescent="0.35">
      <c r="A30" s="2" t="s">
        <v>40</v>
      </c>
      <c r="B30" s="11">
        <v>2016</v>
      </c>
      <c r="C30" s="1">
        <v>4.4000000000000004</v>
      </c>
      <c r="D30" s="1">
        <v>3.8</v>
      </c>
      <c r="E30" s="7" t="s">
        <v>195</v>
      </c>
      <c r="F30" s="7" t="s">
        <v>213</v>
      </c>
      <c r="G30" s="1" t="str">
        <f t="shared" si="0"/>
        <v>Lamar</v>
      </c>
      <c r="H30" s="1" t="str">
        <f t="shared" si="1"/>
        <v>42</v>
      </c>
    </row>
    <row r="31" spans="1:18" x14ac:dyDescent="0.35">
      <c r="A31" s="2" t="s">
        <v>41</v>
      </c>
      <c r="B31" s="11">
        <v>2016</v>
      </c>
      <c r="C31" s="1">
        <v>4.4000000000000004</v>
      </c>
      <c r="D31" s="1">
        <v>1.7</v>
      </c>
      <c r="E31" s="7" t="s">
        <v>195</v>
      </c>
      <c r="F31" s="7" t="s">
        <v>214</v>
      </c>
      <c r="G31" s="1" t="str">
        <f t="shared" si="0"/>
        <v>Rolando</v>
      </c>
      <c r="H31" s="1" t="str">
        <f t="shared" si="1"/>
        <v>40</v>
      </c>
    </row>
    <row r="32" spans="1:18" x14ac:dyDescent="0.35">
      <c r="A32" s="2" t="s">
        <v>42</v>
      </c>
      <c r="B32" s="11">
        <v>2016</v>
      </c>
      <c r="C32" s="1">
        <v>0.2</v>
      </c>
      <c r="D32" s="1">
        <v>3.8</v>
      </c>
      <c r="E32" s="7" t="s">
        <v>181</v>
      </c>
      <c r="F32" s="7" t="s">
        <v>215</v>
      </c>
      <c r="G32" s="1" t="str">
        <f t="shared" si="0"/>
        <v>Louie</v>
      </c>
      <c r="H32" s="1" t="str">
        <f t="shared" si="1"/>
        <v>02</v>
      </c>
    </row>
    <row r="33" spans="1:8" x14ac:dyDescent="0.35">
      <c r="A33" s="2" t="s">
        <v>43</v>
      </c>
      <c r="B33" s="11">
        <v>2016</v>
      </c>
      <c r="C33" s="1">
        <v>1.5</v>
      </c>
      <c r="D33" s="1">
        <v>3.7</v>
      </c>
      <c r="E33" s="7" t="s">
        <v>186</v>
      </c>
      <c r="F33" s="7" t="s">
        <v>216</v>
      </c>
      <c r="G33" s="1" t="str">
        <f t="shared" si="0"/>
        <v>Merle</v>
      </c>
      <c r="H33" s="1" t="str">
        <f t="shared" si="1"/>
        <v>02</v>
      </c>
    </row>
    <row r="34" spans="1:8" x14ac:dyDescent="0.35">
      <c r="A34" s="2" t="s">
        <v>44</v>
      </c>
      <c r="B34" s="11">
        <v>2016</v>
      </c>
      <c r="C34" s="1">
        <v>3.3</v>
      </c>
      <c r="D34" s="1">
        <v>2.9</v>
      </c>
      <c r="E34" s="7" t="s">
        <v>195</v>
      </c>
      <c r="F34" s="7" t="s">
        <v>217</v>
      </c>
      <c r="G34" s="1" t="str">
        <f t="shared" si="0"/>
        <v>Logan</v>
      </c>
      <c r="H34" s="1" t="str">
        <f t="shared" si="1"/>
        <v>22</v>
      </c>
    </row>
    <row r="35" spans="1:8" x14ac:dyDescent="0.35">
      <c r="A35" s="2" t="s">
        <v>45</v>
      </c>
      <c r="B35" s="11">
        <v>2016</v>
      </c>
      <c r="C35" s="1">
        <v>4.5</v>
      </c>
      <c r="D35" s="1">
        <v>1.1000000000000001</v>
      </c>
      <c r="E35" s="7" t="s">
        <v>195</v>
      </c>
      <c r="F35" s="7" t="s">
        <v>218</v>
      </c>
      <c r="G35" s="1" t="str">
        <f t="shared" si="0"/>
        <v>Bradford</v>
      </c>
      <c r="H35" s="1" t="str">
        <f t="shared" si="1"/>
        <v>40</v>
      </c>
    </row>
    <row r="36" spans="1:8" x14ac:dyDescent="0.35">
      <c r="A36" s="2" t="s">
        <v>46</v>
      </c>
      <c r="B36" s="11">
        <v>2016</v>
      </c>
      <c r="C36" s="1">
        <v>1.7</v>
      </c>
      <c r="D36" s="1">
        <v>3.6</v>
      </c>
      <c r="E36" s="7" t="s">
        <v>181</v>
      </c>
      <c r="F36" s="7" t="s">
        <v>219</v>
      </c>
      <c r="G36" s="1" t="str">
        <f t="shared" si="0"/>
        <v>Vicente</v>
      </c>
      <c r="H36" s="1" t="str">
        <f t="shared" si="1"/>
        <v>02</v>
      </c>
    </row>
    <row r="37" spans="1:8" x14ac:dyDescent="0.35">
      <c r="A37" s="2" t="s">
        <v>47</v>
      </c>
      <c r="B37" s="11">
        <v>2016</v>
      </c>
      <c r="C37" s="1">
        <v>3.8</v>
      </c>
      <c r="D37" s="1">
        <v>2.7</v>
      </c>
      <c r="E37" s="7" t="s">
        <v>183</v>
      </c>
      <c r="F37" s="7" t="s">
        <v>220</v>
      </c>
      <c r="G37" s="1" t="str">
        <f t="shared" si="0"/>
        <v>Grady</v>
      </c>
      <c r="H37" s="1" t="str">
        <f t="shared" si="1"/>
        <v>22</v>
      </c>
    </row>
    <row r="38" spans="1:8" x14ac:dyDescent="0.35">
      <c r="A38" s="2" t="s">
        <v>48</v>
      </c>
      <c r="B38" s="11">
        <v>2016</v>
      </c>
      <c r="C38" s="1">
        <v>0.3</v>
      </c>
      <c r="D38" s="1">
        <v>0.6</v>
      </c>
      <c r="E38" s="7" t="s">
        <v>183</v>
      </c>
      <c r="F38" s="7" t="s">
        <v>221</v>
      </c>
      <c r="G38" s="1" t="str">
        <f t="shared" si="0"/>
        <v>Otto</v>
      </c>
      <c r="H38" s="1" t="str">
        <f t="shared" si="1"/>
        <v>00</v>
      </c>
    </row>
    <row r="39" spans="1:8" x14ac:dyDescent="0.35">
      <c r="A39" s="2" t="s">
        <v>49</v>
      </c>
      <c r="B39" s="11">
        <v>2016</v>
      </c>
      <c r="C39" s="1">
        <v>4.5999999999999996</v>
      </c>
      <c r="D39" s="1">
        <v>3.4</v>
      </c>
      <c r="E39" s="7" t="s">
        <v>183</v>
      </c>
      <c r="F39" s="7" t="s">
        <v>222</v>
      </c>
      <c r="G39" s="1" t="str">
        <f t="shared" si="0"/>
        <v>Carroll</v>
      </c>
      <c r="H39" s="1" t="str">
        <f t="shared" si="1"/>
        <v>42</v>
      </c>
    </row>
    <row r="40" spans="1:8" x14ac:dyDescent="0.35">
      <c r="A40" s="2" t="s">
        <v>50</v>
      </c>
      <c r="B40" s="11">
        <v>2016</v>
      </c>
      <c r="C40" s="1">
        <v>2.9</v>
      </c>
      <c r="D40" s="1">
        <v>4.9000000000000004</v>
      </c>
      <c r="E40" s="7" t="s">
        <v>195</v>
      </c>
      <c r="F40" s="7" t="s">
        <v>223</v>
      </c>
      <c r="G40" s="1" t="str">
        <f t="shared" si="0"/>
        <v>Terrell</v>
      </c>
      <c r="H40" s="1" t="str">
        <f t="shared" si="1"/>
        <v>24</v>
      </c>
    </row>
    <row r="41" spans="1:8" x14ac:dyDescent="0.35">
      <c r="A41" s="2" t="s">
        <v>51</v>
      </c>
      <c r="B41" s="11">
        <v>2016</v>
      </c>
      <c r="C41" s="1">
        <v>4.5999999999999996</v>
      </c>
      <c r="D41" s="1">
        <v>5</v>
      </c>
      <c r="E41" s="7" t="s">
        <v>195</v>
      </c>
      <c r="F41" s="7" t="s">
        <v>224</v>
      </c>
      <c r="G41" s="1" t="str">
        <f t="shared" si="0"/>
        <v>Moses</v>
      </c>
      <c r="H41" s="1" t="str">
        <f t="shared" si="1"/>
        <v>44</v>
      </c>
    </row>
    <row r="42" spans="1:8" x14ac:dyDescent="0.35">
      <c r="A42" s="2" t="s">
        <v>52</v>
      </c>
      <c r="B42" s="11">
        <v>2016</v>
      </c>
      <c r="C42" s="1">
        <v>4.9000000000000004</v>
      </c>
      <c r="D42" s="1">
        <v>2.7</v>
      </c>
      <c r="E42" s="7" t="s">
        <v>195</v>
      </c>
      <c r="F42" s="7" t="s">
        <v>225</v>
      </c>
      <c r="G42" s="1" t="str">
        <f t="shared" si="0"/>
        <v>Irvin</v>
      </c>
      <c r="H42" s="1" t="str">
        <f t="shared" si="1"/>
        <v>42</v>
      </c>
    </row>
    <row r="43" spans="1:8" x14ac:dyDescent="0.35">
      <c r="A43" s="2" t="s">
        <v>53</v>
      </c>
      <c r="B43" s="11">
        <v>2016</v>
      </c>
      <c r="C43" s="1">
        <v>2.5</v>
      </c>
      <c r="D43" s="1">
        <v>3.8</v>
      </c>
      <c r="E43" s="7" t="s">
        <v>181</v>
      </c>
      <c r="F43" s="7" t="s">
        <v>226</v>
      </c>
      <c r="G43" s="1" t="str">
        <f t="shared" si="0"/>
        <v>Stephan</v>
      </c>
      <c r="H43" s="1" t="str">
        <f t="shared" si="1"/>
        <v>22</v>
      </c>
    </row>
    <row r="44" spans="1:8" x14ac:dyDescent="0.35">
      <c r="A44" s="2" t="s">
        <v>54</v>
      </c>
      <c r="B44" s="11">
        <v>2016</v>
      </c>
      <c r="C44" s="1">
        <v>1.3</v>
      </c>
      <c r="D44" s="1">
        <v>2.2000000000000002</v>
      </c>
      <c r="E44" s="7" t="s">
        <v>227</v>
      </c>
      <c r="F44" s="7" t="s">
        <v>228</v>
      </c>
      <c r="G44" s="1" t="str">
        <f t="shared" si="0"/>
        <v>Rocky</v>
      </c>
      <c r="H44" s="1" t="str">
        <f t="shared" si="1"/>
        <v>02</v>
      </c>
    </row>
    <row r="45" spans="1:8" x14ac:dyDescent="0.35">
      <c r="A45" s="2" t="s">
        <v>55</v>
      </c>
      <c r="B45" s="11">
        <v>2016</v>
      </c>
      <c r="C45" s="1">
        <v>3.1</v>
      </c>
      <c r="D45" s="1">
        <v>2.1</v>
      </c>
      <c r="E45" s="7" t="s">
        <v>183</v>
      </c>
      <c r="F45" s="7" t="s">
        <v>229</v>
      </c>
      <c r="G45" s="1" t="str">
        <f t="shared" si="0"/>
        <v>Cornelius</v>
      </c>
      <c r="H45" s="1" t="str">
        <f t="shared" si="1"/>
        <v>22</v>
      </c>
    </row>
    <row r="46" spans="1:8" x14ac:dyDescent="0.35">
      <c r="A46" s="2" t="s">
        <v>56</v>
      </c>
      <c r="B46" s="11">
        <v>2016</v>
      </c>
      <c r="C46" s="1">
        <v>2.9</v>
      </c>
      <c r="D46" s="1">
        <v>1</v>
      </c>
      <c r="E46" s="7" t="s">
        <v>183</v>
      </c>
      <c r="F46" s="7" t="s">
        <v>230</v>
      </c>
      <c r="G46" s="1" t="str">
        <f t="shared" si="0"/>
        <v>Dewayne</v>
      </c>
      <c r="H46" s="1" t="str">
        <f t="shared" si="1"/>
        <v>20</v>
      </c>
    </row>
    <row r="47" spans="1:8" x14ac:dyDescent="0.35">
      <c r="A47" s="2" t="s">
        <v>57</v>
      </c>
      <c r="B47" s="11">
        <v>2016</v>
      </c>
      <c r="C47" s="1">
        <v>2.2000000000000002</v>
      </c>
      <c r="D47" s="1">
        <v>3.1</v>
      </c>
      <c r="E47" s="7" t="s">
        <v>183</v>
      </c>
      <c r="F47" s="7" t="s">
        <v>231</v>
      </c>
      <c r="G47" s="1" t="str">
        <f t="shared" si="0"/>
        <v>Phil</v>
      </c>
      <c r="H47" s="1" t="str">
        <f t="shared" si="1"/>
        <v>22</v>
      </c>
    </row>
    <row r="48" spans="1:8" x14ac:dyDescent="0.35">
      <c r="A48" s="2" t="s">
        <v>58</v>
      </c>
      <c r="B48" s="11">
        <v>2016</v>
      </c>
      <c r="C48" s="1">
        <v>4.2</v>
      </c>
      <c r="D48" s="1">
        <v>2.9</v>
      </c>
      <c r="E48" s="7" t="s">
        <v>195</v>
      </c>
      <c r="F48" s="7" t="s">
        <v>232</v>
      </c>
      <c r="G48" s="1" t="str">
        <f t="shared" si="0"/>
        <v>Abel</v>
      </c>
      <c r="H48" s="1" t="str">
        <f t="shared" si="1"/>
        <v>42</v>
      </c>
    </row>
    <row r="49" spans="1:8" x14ac:dyDescent="0.35">
      <c r="A49" s="2" t="s">
        <v>59</v>
      </c>
      <c r="B49" s="11">
        <v>2016</v>
      </c>
      <c r="C49" s="1">
        <v>4.2</v>
      </c>
      <c r="D49" s="1">
        <v>4.7</v>
      </c>
      <c r="E49" s="7" t="s">
        <v>183</v>
      </c>
      <c r="F49" s="7" t="s">
        <v>233</v>
      </c>
      <c r="G49" s="1" t="str">
        <f t="shared" si="0"/>
        <v>Julian</v>
      </c>
      <c r="H49" s="1" t="str">
        <f t="shared" si="1"/>
        <v>44</v>
      </c>
    </row>
    <row r="50" spans="1:8" x14ac:dyDescent="0.35">
      <c r="A50" s="2" t="s">
        <v>60</v>
      </c>
      <c r="B50" s="11">
        <v>2016</v>
      </c>
      <c r="C50" s="1">
        <v>4.8</v>
      </c>
      <c r="D50" s="1">
        <v>3.8</v>
      </c>
      <c r="E50" s="7" t="s">
        <v>195</v>
      </c>
      <c r="F50" s="7" t="s">
        <v>234</v>
      </c>
      <c r="G50" s="1" t="str">
        <f t="shared" si="0"/>
        <v>Virgil</v>
      </c>
      <c r="H50" s="1" t="str">
        <f t="shared" si="1"/>
        <v>42</v>
      </c>
    </row>
    <row r="51" spans="1:8" x14ac:dyDescent="0.35">
      <c r="A51" s="2" t="s">
        <v>61</v>
      </c>
      <c r="B51" s="11">
        <v>2016</v>
      </c>
      <c r="C51" s="1">
        <v>4.2</v>
      </c>
      <c r="D51" s="1">
        <v>0.5</v>
      </c>
      <c r="E51" s="7" t="s">
        <v>195</v>
      </c>
      <c r="F51" s="7" t="s">
        <v>235</v>
      </c>
      <c r="G51" s="1" t="str">
        <f t="shared" si="0"/>
        <v>Winston</v>
      </c>
      <c r="H51" s="1" t="str">
        <f t="shared" si="1"/>
        <v>40</v>
      </c>
    </row>
    <row r="52" spans="1:8" x14ac:dyDescent="0.35">
      <c r="A52" s="2" t="s">
        <v>62</v>
      </c>
      <c r="B52" s="11">
        <v>2016</v>
      </c>
      <c r="C52" s="1">
        <v>4.2</v>
      </c>
      <c r="D52" s="1">
        <v>5</v>
      </c>
      <c r="E52" s="7" t="s">
        <v>195</v>
      </c>
      <c r="F52" s="7" t="s">
        <v>236</v>
      </c>
      <c r="G52" s="1" t="str">
        <f t="shared" si="0"/>
        <v>Aubrey</v>
      </c>
      <c r="H52" s="1" t="str">
        <f t="shared" si="1"/>
        <v>44</v>
      </c>
    </row>
    <row r="53" spans="1:8" x14ac:dyDescent="0.35">
      <c r="A53" s="2" t="s">
        <v>63</v>
      </c>
      <c r="B53" s="11">
        <v>2016</v>
      </c>
      <c r="C53" s="1">
        <v>0.4</v>
      </c>
      <c r="D53" s="1">
        <v>1.1000000000000001</v>
      </c>
      <c r="E53" s="7" t="s">
        <v>195</v>
      </c>
      <c r="F53" s="7" t="s">
        <v>237</v>
      </c>
      <c r="G53" s="1" t="str">
        <f t="shared" si="0"/>
        <v>Boyd</v>
      </c>
      <c r="H53" s="1" t="str">
        <f t="shared" si="1"/>
        <v>00</v>
      </c>
    </row>
    <row r="54" spans="1:8" x14ac:dyDescent="0.35">
      <c r="A54" s="2" t="s">
        <v>64</v>
      </c>
      <c r="B54" s="11">
        <v>2016</v>
      </c>
      <c r="C54" s="1">
        <v>3.4</v>
      </c>
      <c r="D54" s="1">
        <v>1.9</v>
      </c>
      <c r="E54" s="7" t="s">
        <v>227</v>
      </c>
      <c r="F54" s="7" t="s">
        <v>238</v>
      </c>
      <c r="G54" s="1" t="str">
        <f t="shared" si="0"/>
        <v>Freddy</v>
      </c>
      <c r="H54" s="1" t="str">
        <f t="shared" si="1"/>
        <v>20</v>
      </c>
    </row>
    <row r="55" spans="1:8" x14ac:dyDescent="0.35">
      <c r="A55" s="2" t="s">
        <v>65</v>
      </c>
      <c r="B55" s="11">
        <v>2016</v>
      </c>
      <c r="C55" s="1">
        <v>3.6</v>
      </c>
      <c r="D55" s="1">
        <v>1.1000000000000001</v>
      </c>
      <c r="E55" s="7" t="s">
        <v>195</v>
      </c>
      <c r="F55" s="7" t="s">
        <v>239</v>
      </c>
      <c r="G55" s="1" t="str">
        <f t="shared" si="0"/>
        <v>Andy</v>
      </c>
      <c r="H55" s="1" t="str">
        <f t="shared" si="1"/>
        <v>20</v>
      </c>
    </row>
    <row r="56" spans="1:8" x14ac:dyDescent="0.35">
      <c r="A56" s="2" t="s">
        <v>66</v>
      </c>
      <c r="B56" s="11">
        <v>2016</v>
      </c>
      <c r="C56" s="1">
        <v>1.6</v>
      </c>
      <c r="D56" s="1">
        <v>0.9</v>
      </c>
      <c r="E56" s="7" t="s">
        <v>195</v>
      </c>
      <c r="F56" s="7" t="s">
        <v>240</v>
      </c>
      <c r="G56" s="1" t="str">
        <f t="shared" si="0"/>
        <v>Ross</v>
      </c>
      <c r="H56" s="1" t="str">
        <f t="shared" si="1"/>
        <v>00</v>
      </c>
    </row>
    <row r="57" spans="1:8" x14ac:dyDescent="0.35">
      <c r="A57" s="2" t="s">
        <v>67</v>
      </c>
      <c r="B57" s="11">
        <v>2016</v>
      </c>
      <c r="C57" s="1">
        <v>2.2000000000000002</v>
      </c>
      <c r="D57" s="1">
        <v>0.6</v>
      </c>
      <c r="E57" s="7" t="s">
        <v>195</v>
      </c>
      <c r="F57" s="7" t="s">
        <v>241</v>
      </c>
      <c r="G57" s="1" t="str">
        <f t="shared" si="0"/>
        <v>Emilio</v>
      </c>
      <c r="H57" s="1" t="str">
        <f t="shared" si="1"/>
        <v>20</v>
      </c>
    </row>
    <row r="58" spans="1:8" x14ac:dyDescent="0.35">
      <c r="A58" s="2" t="s">
        <v>68</v>
      </c>
      <c r="B58" s="11">
        <v>2016</v>
      </c>
      <c r="C58" s="1">
        <v>1.2</v>
      </c>
      <c r="D58" s="1">
        <v>2.8</v>
      </c>
      <c r="E58" s="7" t="s">
        <v>195</v>
      </c>
      <c r="F58" s="7" t="s">
        <v>242</v>
      </c>
      <c r="G58" s="1" t="str">
        <f t="shared" si="0"/>
        <v>Tommie</v>
      </c>
      <c r="H58" s="1" t="str">
        <f t="shared" si="1"/>
        <v>02</v>
      </c>
    </row>
    <row r="59" spans="1:8" x14ac:dyDescent="0.35">
      <c r="A59" s="2" t="s">
        <v>69</v>
      </c>
      <c r="B59" s="11">
        <v>2016</v>
      </c>
      <c r="C59" s="1">
        <v>1.7</v>
      </c>
      <c r="D59" s="1">
        <v>1.6</v>
      </c>
      <c r="E59" s="7" t="s">
        <v>195</v>
      </c>
      <c r="F59" s="7" t="s">
        <v>243</v>
      </c>
      <c r="G59" s="1" t="str">
        <f t="shared" si="0"/>
        <v>Elijah</v>
      </c>
      <c r="H59" s="1" t="str">
        <f t="shared" si="1"/>
        <v>00</v>
      </c>
    </row>
    <row r="60" spans="1:8" x14ac:dyDescent="0.35">
      <c r="A60" s="2" t="s">
        <v>70</v>
      </c>
      <c r="B60" s="11">
        <v>2016</v>
      </c>
      <c r="C60" s="1">
        <v>0.5</v>
      </c>
      <c r="D60" s="1">
        <v>2.6</v>
      </c>
      <c r="E60" s="7" t="s">
        <v>195</v>
      </c>
      <c r="F60" s="7" t="s">
        <v>244</v>
      </c>
      <c r="G60" s="1" t="str">
        <f t="shared" si="0"/>
        <v>Darrin</v>
      </c>
      <c r="H60" s="1" t="str">
        <f t="shared" si="1"/>
        <v>02</v>
      </c>
    </row>
    <row r="61" spans="1:8" x14ac:dyDescent="0.35">
      <c r="A61" s="2" t="s">
        <v>71</v>
      </c>
      <c r="B61" s="11">
        <v>2016</v>
      </c>
      <c r="C61" s="1">
        <v>3.7</v>
      </c>
      <c r="D61" s="1">
        <v>1.3</v>
      </c>
      <c r="E61" s="7" t="s">
        <v>181</v>
      </c>
      <c r="F61" s="7" t="s">
        <v>245</v>
      </c>
      <c r="G61" s="1" t="str">
        <f t="shared" si="0"/>
        <v>Humberto</v>
      </c>
      <c r="H61" s="1" t="str">
        <f t="shared" si="1"/>
        <v>20</v>
      </c>
    </row>
    <row r="62" spans="1:8" x14ac:dyDescent="0.35">
      <c r="A62" s="2" t="s">
        <v>72</v>
      </c>
      <c r="B62" s="11">
        <v>2016</v>
      </c>
      <c r="C62" s="1">
        <v>2.1</v>
      </c>
      <c r="D62" s="1">
        <v>0.6</v>
      </c>
      <c r="E62" s="7" t="s">
        <v>195</v>
      </c>
      <c r="F62" s="7" t="s">
        <v>246</v>
      </c>
      <c r="G62" s="1" t="str">
        <f t="shared" si="0"/>
        <v>Roman</v>
      </c>
      <c r="H62" s="1" t="str">
        <f t="shared" si="1"/>
        <v>20</v>
      </c>
    </row>
    <row r="63" spans="1:8" x14ac:dyDescent="0.35">
      <c r="A63" s="2" t="s">
        <v>73</v>
      </c>
      <c r="B63" s="11">
        <v>2016</v>
      </c>
      <c r="C63" s="1">
        <v>0.6</v>
      </c>
      <c r="D63" s="1">
        <v>3.8</v>
      </c>
      <c r="E63" s="7" t="s">
        <v>183</v>
      </c>
      <c r="F63" s="7" t="s">
        <v>247</v>
      </c>
      <c r="G63" s="1" t="str">
        <f t="shared" si="0"/>
        <v>Rodger</v>
      </c>
      <c r="H63" s="1" t="str">
        <f t="shared" si="1"/>
        <v>02</v>
      </c>
    </row>
    <row r="64" spans="1:8" x14ac:dyDescent="0.35">
      <c r="A64" s="2" t="s">
        <v>74</v>
      </c>
      <c r="B64" s="11">
        <v>2016</v>
      </c>
      <c r="C64" s="1">
        <v>4.8</v>
      </c>
      <c r="D64" s="1">
        <v>0.5</v>
      </c>
      <c r="E64" s="7" t="s">
        <v>181</v>
      </c>
      <c r="F64" s="7" t="s">
        <v>248</v>
      </c>
      <c r="G64" s="1" t="str">
        <f t="shared" si="0"/>
        <v>Clark</v>
      </c>
      <c r="H64" s="1" t="str">
        <f t="shared" si="1"/>
        <v>40</v>
      </c>
    </row>
    <row r="65" spans="1:8" x14ac:dyDescent="0.35">
      <c r="A65" s="2" t="s">
        <v>75</v>
      </c>
      <c r="B65" s="11">
        <v>2016</v>
      </c>
      <c r="C65" s="1">
        <v>3.4</v>
      </c>
      <c r="D65" s="1">
        <v>4.5</v>
      </c>
      <c r="E65" s="7" t="s">
        <v>195</v>
      </c>
      <c r="F65" s="7" t="s">
        <v>249</v>
      </c>
      <c r="G65" s="1" t="str">
        <f t="shared" si="0"/>
        <v>Darnell</v>
      </c>
      <c r="H65" s="1" t="str">
        <f t="shared" si="1"/>
        <v>24</v>
      </c>
    </row>
    <row r="66" spans="1:8" x14ac:dyDescent="0.35">
      <c r="A66" s="2" t="s">
        <v>76</v>
      </c>
      <c r="B66" s="11">
        <v>2016</v>
      </c>
      <c r="C66" s="1">
        <v>2.2999999999999998</v>
      </c>
      <c r="D66" s="1">
        <v>2.4</v>
      </c>
      <c r="E66" s="7" t="s">
        <v>183</v>
      </c>
      <c r="F66" s="7" t="s">
        <v>250</v>
      </c>
      <c r="G66" s="1" t="str">
        <f t="shared" ref="G66:G129" si="2">LEFT(F66,FIND(" ",F66)-1)</f>
        <v>Ethan</v>
      </c>
      <c r="H66" s="1" t="str">
        <f t="shared" ref="H66:H129" si="3">FLOOR(C66,2)&amp;FLOOR(D66,2)</f>
        <v>22</v>
      </c>
    </row>
    <row r="67" spans="1:8" x14ac:dyDescent="0.35">
      <c r="A67" s="2" t="s">
        <v>77</v>
      </c>
      <c r="B67" s="11">
        <v>2016</v>
      </c>
      <c r="C67" s="1">
        <v>3.4</v>
      </c>
      <c r="D67" s="1">
        <v>4.3</v>
      </c>
      <c r="E67" s="7" t="s">
        <v>183</v>
      </c>
      <c r="F67" s="7" t="s">
        <v>251</v>
      </c>
      <c r="G67" s="1" t="str">
        <f t="shared" si="2"/>
        <v>Byron</v>
      </c>
      <c r="H67" s="1" t="str">
        <f t="shared" si="3"/>
        <v>24</v>
      </c>
    </row>
    <row r="68" spans="1:8" x14ac:dyDescent="0.35">
      <c r="A68" s="2" t="s">
        <v>78</v>
      </c>
      <c r="B68" s="11">
        <v>2016</v>
      </c>
      <c r="C68" s="1">
        <v>4.4000000000000004</v>
      </c>
      <c r="D68" s="1">
        <v>2.5</v>
      </c>
      <c r="E68" s="7" t="s">
        <v>183</v>
      </c>
      <c r="F68" s="7" t="s">
        <v>252</v>
      </c>
      <c r="G68" s="1" t="str">
        <f t="shared" si="2"/>
        <v>Loretta</v>
      </c>
      <c r="H68" s="1" t="str">
        <f t="shared" si="3"/>
        <v>42</v>
      </c>
    </row>
    <row r="69" spans="1:8" x14ac:dyDescent="0.35">
      <c r="A69" s="2" t="s">
        <v>79</v>
      </c>
      <c r="B69" s="11">
        <v>2016</v>
      </c>
      <c r="C69" s="1">
        <v>1.6</v>
      </c>
      <c r="D69" s="1">
        <v>1.9</v>
      </c>
      <c r="E69" s="7" t="s">
        <v>195</v>
      </c>
      <c r="F69" s="7" t="s">
        <v>253</v>
      </c>
      <c r="G69" s="1" t="str">
        <f t="shared" si="2"/>
        <v>Victoria</v>
      </c>
      <c r="H69" s="1" t="str">
        <f t="shared" si="3"/>
        <v>00</v>
      </c>
    </row>
    <row r="70" spans="1:8" x14ac:dyDescent="0.35">
      <c r="A70" s="2" t="s">
        <v>80</v>
      </c>
      <c r="B70" s="11">
        <v>2016</v>
      </c>
      <c r="C70" s="1">
        <v>2</v>
      </c>
      <c r="D70" s="1">
        <v>3.1</v>
      </c>
      <c r="E70" s="7" t="s">
        <v>183</v>
      </c>
      <c r="F70" s="7" t="s">
        <v>254</v>
      </c>
      <c r="G70" s="1" t="str">
        <f t="shared" si="2"/>
        <v>Katie</v>
      </c>
      <c r="H70" s="1" t="str">
        <f t="shared" si="3"/>
        <v>22</v>
      </c>
    </row>
    <row r="71" spans="1:8" x14ac:dyDescent="0.35">
      <c r="A71" s="2" t="s">
        <v>81</v>
      </c>
      <c r="B71" s="11">
        <v>2016</v>
      </c>
      <c r="C71" s="1">
        <v>0.6</v>
      </c>
      <c r="D71" s="1">
        <v>1.7</v>
      </c>
      <c r="E71" s="7" t="s">
        <v>183</v>
      </c>
      <c r="F71" s="7" t="s">
        <v>255</v>
      </c>
      <c r="G71" s="1" t="str">
        <f t="shared" si="2"/>
        <v>Josephine</v>
      </c>
      <c r="H71" s="1" t="str">
        <f t="shared" si="3"/>
        <v>00</v>
      </c>
    </row>
    <row r="72" spans="1:8" x14ac:dyDescent="0.35">
      <c r="A72" s="2" t="s">
        <v>82</v>
      </c>
      <c r="B72" s="11">
        <v>2016</v>
      </c>
      <c r="C72" s="1">
        <v>4</v>
      </c>
      <c r="D72" s="1">
        <v>3.4</v>
      </c>
      <c r="E72" s="7" t="s">
        <v>183</v>
      </c>
      <c r="F72" s="7" t="s">
        <v>256</v>
      </c>
      <c r="G72" s="1" t="str">
        <f t="shared" si="2"/>
        <v>Thelma</v>
      </c>
      <c r="H72" s="1" t="str">
        <f t="shared" si="3"/>
        <v>42</v>
      </c>
    </row>
    <row r="73" spans="1:8" x14ac:dyDescent="0.35">
      <c r="A73" s="2" t="s">
        <v>83</v>
      </c>
      <c r="B73" s="11">
        <v>2016</v>
      </c>
      <c r="C73" s="1">
        <v>4.3</v>
      </c>
      <c r="D73" s="1">
        <v>3.7</v>
      </c>
      <c r="E73" s="7" t="s">
        <v>186</v>
      </c>
      <c r="F73" s="7" t="s">
        <v>257</v>
      </c>
      <c r="G73" s="1" t="str">
        <f t="shared" si="2"/>
        <v>Wilfred</v>
      </c>
      <c r="H73" s="1" t="str">
        <f t="shared" si="3"/>
        <v>42</v>
      </c>
    </row>
    <row r="74" spans="1:8" x14ac:dyDescent="0.35">
      <c r="A74" s="2" t="s">
        <v>84</v>
      </c>
      <c r="B74" s="11">
        <v>2016</v>
      </c>
      <c r="C74" s="1">
        <v>0.6</v>
      </c>
      <c r="D74" s="1">
        <v>3.5</v>
      </c>
      <c r="E74" s="7" t="s">
        <v>186</v>
      </c>
      <c r="F74" s="7" t="s">
        <v>258</v>
      </c>
      <c r="G74" s="1" t="str">
        <f t="shared" si="2"/>
        <v>Taylor</v>
      </c>
      <c r="H74" s="1" t="str">
        <f t="shared" si="3"/>
        <v>02</v>
      </c>
    </row>
    <row r="75" spans="1:8" x14ac:dyDescent="0.35">
      <c r="A75" s="2" t="s">
        <v>85</v>
      </c>
      <c r="B75" s="11">
        <v>2016</v>
      </c>
      <c r="C75" s="1">
        <v>1.8</v>
      </c>
      <c r="D75" s="1">
        <v>3.3</v>
      </c>
      <c r="E75" s="7" t="s">
        <v>195</v>
      </c>
      <c r="F75" s="7" t="s">
        <v>259</v>
      </c>
      <c r="G75" s="1" t="str">
        <f t="shared" si="2"/>
        <v>Morris</v>
      </c>
      <c r="H75" s="1" t="str">
        <f t="shared" si="3"/>
        <v>02</v>
      </c>
    </row>
    <row r="76" spans="1:8" x14ac:dyDescent="0.35">
      <c r="A76" s="2" t="s">
        <v>86</v>
      </c>
      <c r="B76" s="11">
        <v>2016</v>
      </c>
      <c r="C76" s="1">
        <v>4.5999999999999996</v>
      </c>
      <c r="D76" s="1">
        <v>1.2</v>
      </c>
      <c r="E76" s="7" t="s">
        <v>227</v>
      </c>
      <c r="F76" s="7" t="s">
        <v>260</v>
      </c>
      <c r="G76" s="1" t="str">
        <f t="shared" si="2"/>
        <v>Pierre</v>
      </c>
      <c r="H76" s="1" t="str">
        <f t="shared" si="3"/>
        <v>40</v>
      </c>
    </row>
    <row r="77" spans="1:8" x14ac:dyDescent="0.35">
      <c r="A77" s="2" t="s">
        <v>87</v>
      </c>
      <c r="B77" s="11">
        <v>2016</v>
      </c>
      <c r="C77" s="1">
        <v>3.3</v>
      </c>
      <c r="D77" s="1">
        <v>0.7</v>
      </c>
      <c r="E77" s="7" t="s">
        <v>186</v>
      </c>
      <c r="F77" s="7" t="s">
        <v>261</v>
      </c>
      <c r="G77" s="1" t="str">
        <f t="shared" si="2"/>
        <v>Frankie</v>
      </c>
      <c r="H77" s="1" t="str">
        <f t="shared" si="3"/>
        <v>20</v>
      </c>
    </row>
    <row r="78" spans="1:8" x14ac:dyDescent="0.35">
      <c r="A78" s="2" t="s">
        <v>88</v>
      </c>
      <c r="B78" s="11">
        <v>2016</v>
      </c>
      <c r="C78" s="1">
        <v>4.4000000000000004</v>
      </c>
      <c r="D78" s="1">
        <v>2.5</v>
      </c>
      <c r="E78" s="7" t="s">
        <v>183</v>
      </c>
      <c r="F78" s="7" t="s">
        <v>262</v>
      </c>
      <c r="G78" s="1" t="str">
        <f t="shared" si="2"/>
        <v>Bret</v>
      </c>
      <c r="H78" s="1" t="str">
        <f t="shared" si="3"/>
        <v>42</v>
      </c>
    </row>
    <row r="79" spans="1:8" x14ac:dyDescent="0.35">
      <c r="A79" s="2" t="s">
        <v>89</v>
      </c>
      <c r="B79" s="11">
        <v>2016</v>
      </c>
      <c r="C79" s="1">
        <v>2.2999999999999998</v>
      </c>
      <c r="D79" s="1">
        <v>3.4</v>
      </c>
      <c r="E79" s="7" t="s">
        <v>183</v>
      </c>
      <c r="F79" s="7" t="s">
        <v>263</v>
      </c>
      <c r="G79" s="1" t="str">
        <f t="shared" si="2"/>
        <v>Harley</v>
      </c>
      <c r="H79" s="1" t="str">
        <f t="shared" si="3"/>
        <v>22</v>
      </c>
    </row>
    <row r="80" spans="1:8" x14ac:dyDescent="0.35">
      <c r="A80" s="2" t="s">
        <v>90</v>
      </c>
      <c r="B80" s="11">
        <v>2016</v>
      </c>
      <c r="C80" s="1">
        <v>2.1</v>
      </c>
      <c r="D80" s="1">
        <v>2</v>
      </c>
      <c r="E80" s="7" t="s">
        <v>181</v>
      </c>
      <c r="F80" s="7" t="s">
        <v>264</v>
      </c>
      <c r="G80" s="1" t="str">
        <f t="shared" si="2"/>
        <v>Jess</v>
      </c>
      <c r="H80" s="1" t="str">
        <f t="shared" si="3"/>
        <v>22</v>
      </c>
    </row>
    <row r="81" spans="1:8" x14ac:dyDescent="0.35">
      <c r="A81" s="2" t="s">
        <v>91</v>
      </c>
      <c r="B81" s="11">
        <v>2016</v>
      </c>
      <c r="C81" s="1">
        <v>5</v>
      </c>
      <c r="D81" s="1">
        <v>2.9</v>
      </c>
      <c r="E81" s="7" t="s">
        <v>227</v>
      </c>
      <c r="F81" s="7" t="s">
        <v>265</v>
      </c>
      <c r="G81" s="1" t="str">
        <f t="shared" si="2"/>
        <v>Junior</v>
      </c>
      <c r="H81" s="1" t="str">
        <f t="shared" si="3"/>
        <v>42</v>
      </c>
    </row>
    <row r="82" spans="1:8" x14ac:dyDescent="0.35">
      <c r="A82" s="2" t="s">
        <v>92</v>
      </c>
      <c r="B82" s="11">
        <v>2016</v>
      </c>
      <c r="C82" s="1">
        <v>3</v>
      </c>
      <c r="D82" s="1">
        <v>2.1</v>
      </c>
      <c r="E82" s="7" t="s">
        <v>183</v>
      </c>
      <c r="F82" s="7" t="s">
        <v>266</v>
      </c>
      <c r="G82" s="1" t="str">
        <f t="shared" si="2"/>
        <v>Emmett</v>
      </c>
      <c r="H82" s="1" t="str">
        <f t="shared" si="3"/>
        <v>22</v>
      </c>
    </row>
    <row r="83" spans="1:8" x14ac:dyDescent="0.35">
      <c r="A83" s="2" t="s">
        <v>93</v>
      </c>
      <c r="B83" s="11">
        <v>2016</v>
      </c>
      <c r="C83" s="1">
        <v>0.5</v>
      </c>
      <c r="D83" s="1">
        <v>3</v>
      </c>
      <c r="E83" s="7" t="s">
        <v>183</v>
      </c>
      <c r="F83" s="7" t="s">
        <v>267</v>
      </c>
      <c r="G83" s="1" t="str">
        <f t="shared" si="2"/>
        <v>Reynaldo</v>
      </c>
      <c r="H83" s="1" t="str">
        <f t="shared" si="3"/>
        <v>02</v>
      </c>
    </row>
    <row r="84" spans="1:8" x14ac:dyDescent="0.35">
      <c r="A84" s="2" t="s">
        <v>94</v>
      </c>
      <c r="B84" s="11">
        <v>2016</v>
      </c>
      <c r="C84" s="1">
        <v>2.9</v>
      </c>
      <c r="D84" s="1">
        <v>1.3</v>
      </c>
      <c r="E84" s="7" t="s">
        <v>186</v>
      </c>
      <c r="F84" s="7" t="s">
        <v>268</v>
      </c>
      <c r="G84" s="1" t="str">
        <f t="shared" si="2"/>
        <v>Holly</v>
      </c>
      <c r="H84" s="1" t="str">
        <f t="shared" si="3"/>
        <v>20</v>
      </c>
    </row>
    <row r="85" spans="1:8" x14ac:dyDescent="0.35">
      <c r="A85" s="2" t="s">
        <v>95</v>
      </c>
      <c r="B85" s="11">
        <v>2016</v>
      </c>
      <c r="C85" s="1">
        <v>0.5</v>
      </c>
      <c r="D85" s="1">
        <v>1.1000000000000001</v>
      </c>
      <c r="E85" s="7" t="s">
        <v>186</v>
      </c>
      <c r="F85" s="7" t="s">
        <v>269</v>
      </c>
      <c r="G85" s="1" t="str">
        <f t="shared" si="2"/>
        <v>Bert</v>
      </c>
      <c r="H85" s="1" t="str">
        <f t="shared" si="3"/>
        <v>00</v>
      </c>
    </row>
    <row r="86" spans="1:8" x14ac:dyDescent="0.35">
      <c r="A86" s="2" t="s">
        <v>96</v>
      </c>
      <c r="B86" s="11">
        <v>2016</v>
      </c>
      <c r="C86" s="1">
        <v>2.9</v>
      </c>
      <c r="D86" s="1">
        <v>0.6</v>
      </c>
      <c r="E86" s="7" t="s">
        <v>186</v>
      </c>
      <c r="F86" s="7" t="s">
        <v>270</v>
      </c>
      <c r="G86" s="1" t="str">
        <f t="shared" si="2"/>
        <v>Rogelio</v>
      </c>
      <c r="H86" s="1" t="str">
        <f t="shared" si="3"/>
        <v>20</v>
      </c>
    </row>
    <row r="87" spans="1:8" x14ac:dyDescent="0.35">
      <c r="A87" s="2" t="s">
        <v>97</v>
      </c>
      <c r="B87" s="11">
        <v>2016</v>
      </c>
      <c r="C87" s="1">
        <v>4.3</v>
      </c>
      <c r="D87" s="1">
        <v>3.6</v>
      </c>
      <c r="E87" s="7" t="s">
        <v>186</v>
      </c>
      <c r="F87" s="7" t="s">
        <v>271</v>
      </c>
      <c r="G87" s="1" t="str">
        <f t="shared" si="2"/>
        <v>Terence</v>
      </c>
      <c r="H87" s="1" t="str">
        <f t="shared" si="3"/>
        <v>42</v>
      </c>
    </row>
    <row r="88" spans="1:8" x14ac:dyDescent="0.35">
      <c r="A88" s="2" t="s">
        <v>98</v>
      </c>
      <c r="B88" s="11">
        <v>2016</v>
      </c>
      <c r="C88" s="1">
        <v>2</v>
      </c>
      <c r="D88" s="1">
        <v>3.6</v>
      </c>
      <c r="E88" s="7" t="s">
        <v>195</v>
      </c>
      <c r="F88" s="7" t="s">
        <v>272</v>
      </c>
      <c r="G88" s="1" t="str">
        <f t="shared" si="2"/>
        <v>Percy</v>
      </c>
      <c r="H88" s="1" t="str">
        <f t="shared" si="3"/>
        <v>22</v>
      </c>
    </row>
    <row r="89" spans="1:8" x14ac:dyDescent="0.35">
      <c r="A89" s="2" t="s">
        <v>99</v>
      </c>
      <c r="B89" s="11">
        <v>2016</v>
      </c>
      <c r="C89" s="1">
        <v>2.6</v>
      </c>
      <c r="D89" s="1">
        <v>1.9</v>
      </c>
      <c r="E89" s="7" t="s">
        <v>186</v>
      </c>
      <c r="F89" s="7" t="s">
        <v>273</v>
      </c>
      <c r="G89" s="1" t="str">
        <f t="shared" si="2"/>
        <v>Santiago</v>
      </c>
      <c r="H89" s="1" t="str">
        <f t="shared" si="3"/>
        <v>20</v>
      </c>
    </row>
    <row r="90" spans="1:8" x14ac:dyDescent="0.35">
      <c r="A90" s="2" t="s">
        <v>100</v>
      </c>
      <c r="B90" s="11">
        <v>2016</v>
      </c>
      <c r="C90" s="1">
        <v>0.9</v>
      </c>
      <c r="D90" s="1">
        <v>1.3</v>
      </c>
      <c r="E90" s="7" t="s">
        <v>186</v>
      </c>
      <c r="F90" s="7" t="s">
        <v>274</v>
      </c>
      <c r="G90" s="1" t="str">
        <f t="shared" si="2"/>
        <v>Alonzo</v>
      </c>
      <c r="H90" s="1" t="str">
        <f t="shared" si="3"/>
        <v>00</v>
      </c>
    </row>
    <row r="91" spans="1:8" x14ac:dyDescent="0.35">
      <c r="A91" s="2" t="s">
        <v>101</v>
      </c>
      <c r="B91" s="11">
        <v>2016</v>
      </c>
      <c r="C91" s="1">
        <v>5</v>
      </c>
      <c r="D91" s="1">
        <v>2.2000000000000002</v>
      </c>
      <c r="E91" s="7" t="s">
        <v>186</v>
      </c>
      <c r="F91" s="7" t="s">
        <v>275</v>
      </c>
      <c r="G91" s="1" t="str">
        <f t="shared" si="2"/>
        <v>Josh</v>
      </c>
      <c r="H91" s="1" t="str">
        <f t="shared" si="3"/>
        <v>42</v>
      </c>
    </row>
    <row r="92" spans="1:8" x14ac:dyDescent="0.35">
      <c r="A92" s="2" t="s">
        <v>102</v>
      </c>
      <c r="B92" s="11">
        <v>2016</v>
      </c>
      <c r="C92" s="1">
        <v>0.7</v>
      </c>
      <c r="D92" s="1">
        <v>1.3</v>
      </c>
      <c r="E92" s="7" t="s">
        <v>186</v>
      </c>
      <c r="F92" s="7" t="s">
        <v>276</v>
      </c>
      <c r="G92" s="1" t="str">
        <f t="shared" si="2"/>
        <v>Ignacio</v>
      </c>
      <c r="H92" s="1" t="str">
        <f t="shared" si="3"/>
        <v>00</v>
      </c>
    </row>
    <row r="93" spans="1:8" x14ac:dyDescent="0.35">
      <c r="A93" s="2" t="s">
        <v>103</v>
      </c>
      <c r="B93" s="11">
        <v>2016</v>
      </c>
      <c r="C93" s="1">
        <v>1.5</v>
      </c>
      <c r="D93" s="1">
        <v>2</v>
      </c>
      <c r="E93" s="7" t="s">
        <v>186</v>
      </c>
      <c r="F93" s="7" t="s">
        <v>277</v>
      </c>
      <c r="G93" s="1" t="str">
        <f t="shared" si="2"/>
        <v>Ramiro</v>
      </c>
      <c r="H93" s="1" t="str">
        <f t="shared" si="3"/>
        <v>02</v>
      </c>
    </row>
    <row r="94" spans="1:8" x14ac:dyDescent="0.35">
      <c r="A94" s="2" t="s">
        <v>104</v>
      </c>
      <c r="B94" s="11">
        <v>2016</v>
      </c>
      <c r="C94" s="1">
        <v>2.5</v>
      </c>
      <c r="D94" s="1">
        <v>3.7</v>
      </c>
      <c r="E94" s="7" t="s">
        <v>186</v>
      </c>
      <c r="F94" s="7" t="s">
        <v>278</v>
      </c>
      <c r="G94" s="1" t="str">
        <f t="shared" si="2"/>
        <v>Conrad</v>
      </c>
      <c r="H94" s="1" t="str">
        <f t="shared" si="3"/>
        <v>22</v>
      </c>
    </row>
    <row r="95" spans="1:8" x14ac:dyDescent="0.35">
      <c r="A95" s="2" t="s">
        <v>105</v>
      </c>
      <c r="B95" s="11">
        <v>2016</v>
      </c>
      <c r="C95" s="1">
        <v>1</v>
      </c>
      <c r="D95" s="1">
        <v>3</v>
      </c>
      <c r="E95" s="7" t="s">
        <v>186</v>
      </c>
      <c r="F95" s="7" t="s">
        <v>279</v>
      </c>
      <c r="G95" s="1" t="str">
        <f t="shared" si="2"/>
        <v>Pat</v>
      </c>
      <c r="H95" s="1" t="str">
        <f t="shared" si="3"/>
        <v>02</v>
      </c>
    </row>
    <row r="96" spans="1:8" x14ac:dyDescent="0.35">
      <c r="A96" s="2" t="s">
        <v>106</v>
      </c>
      <c r="B96" s="11">
        <v>2016</v>
      </c>
      <c r="C96" s="1">
        <v>1.5</v>
      </c>
      <c r="D96" s="1">
        <v>3.9</v>
      </c>
      <c r="E96" s="7" t="s">
        <v>195</v>
      </c>
      <c r="F96" s="7" t="s">
        <v>280</v>
      </c>
      <c r="G96" s="1" t="str">
        <f t="shared" si="2"/>
        <v>Darin</v>
      </c>
      <c r="H96" s="1" t="str">
        <f t="shared" si="3"/>
        <v>02</v>
      </c>
    </row>
    <row r="97" spans="1:8" x14ac:dyDescent="0.35">
      <c r="A97" s="2" t="s">
        <v>107</v>
      </c>
      <c r="B97" s="11">
        <v>2016</v>
      </c>
      <c r="C97" s="1">
        <v>3.6</v>
      </c>
      <c r="D97" s="1">
        <v>2.8</v>
      </c>
      <c r="E97" s="7" t="s">
        <v>195</v>
      </c>
      <c r="F97" s="7" t="s">
        <v>281</v>
      </c>
      <c r="G97" s="1" t="str">
        <f t="shared" si="2"/>
        <v>Amos</v>
      </c>
      <c r="H97" s="1" t="str">
        <f t="shared" si="3"/>
        <v>22</v>
      </c>
    </row>
    <row r="98" spans="1:8" x14ac:dyDescent="0.35">
      <c r="A98" s="2" t="s">
        <v>108</v>
      </c>
      <c r="B98" s="11">
        <v>2016</v>
      </c>
      <c r="C98" s="1">
        <v>2.1</v>
      </c>
      <c r="D98" s="1">
        <v>2.2999999999999998</v>
      </c>
      <c r="E98" s="7" t="s">
        <v>183</v>
      </c>
      <c r="F98" s="7" t="s">
        <v>282</v>
      </c>
      <c r="G98" s="1" t="str">
        <f t="shared" si="2"/>
        <v>Eldon</v>
      </c>
      <c r="H98" s="1" t="str">
        <f t="shared" si="3"/>
        <v>22</v>
      </c>
    </row>
    <row r="99" spans="1:8" x14ac:dyDescent="0.35">
      <c r="A99" s="2" t="s">
        <v>109</v>
      </c>
      <c r="B99" s="11">
        <v>2016</v>
      </c>
      <c r="C99" s="1">
        <v>4.0999999999999996</v>
      </c>
      <c r="D99" s="1">
        <v>0.9</v>
      </c>
      <c r="E99" s="7" t="s">
        <v>195</v>
      </c>
      <c r="F99" s="7" t="s">
        <v>283</v>
      </c>
      <c r="G99" s="1" t="str">
        <f t="shared" si="2"/>
        <v>Dominick</v>
      </c>
      <c r="H99" s="1" t="str">
        <f t="shared" si="3"/>
        <v>40</v>
      </c>
    </row>
    <row r="100" spans="1:8" x14ac:dyDescent="0.35">
      <c r="A100" s="2" t="s">
        <v>110</v>
      </c>
      <c r="B100" s="11">
        <v>2016</v>
      </c>
      <c r="C100" s="1">
        <v>0.8</v>
      </c>
      <c r="D100" s="1">
        <v>0.8</v>
      </c>
      <c r="E100" s="7" t="s">
        <v>195</v>
      </c>
      <c r="F100" s="7" t="s">
        <v>284</v>
      </c>
      <c r="G100" s="1" t="str">
        <f t="shared" si="2"/>
        <v>Van</v>
      </c>
      <c r="H100" s="1" t="str">
        <f t="shared" si="3"/>
        <v>00</v>
      </c>
    </row>
    <row r="101" spans="1:8" x14ac:dyDescent="0.35">
      <c r="A101" s="2" t="s">
        <v>111</v>
      </c>
      <c r="B101" s="11">
        <v>2016</v>
      </c>
      <c r="C101" s="1">
        <v>2.7</v>
      </c>
      <c r="D101" s="1">
        <v>3.8</v>
      </c>
      <c r="E101" s="7" t="s">
        <v>195</v>
      </c>
      <c r="F101" s="7" t="s">
        <v>285</v>
      </c>
      <c r="G101" s="1" t="str">
        <f t="shared" si="2"/>
        <v>Saul</v>
      </c>
      <c r="H101" s="1" t="str">
        <f t="shared" si="3"/>
        <v>22</v>
      </c>
    </row>
    <row r="102" spans="1:8" x14ac:dyDescent="0.35">
      <c r="A102" s="2" t="s">
        <v>112</v>
      </c>
      <c r="B102" s="11">
        <v>2016</v>
      </c>
      <c r="C102" s="1">
        <v>3.1</v>
      </c>
      <c r="D102" s="1">
        <v>3.2</v>
      </c>
      <c r="E102" s="7" t="s">
        <v>195</v>
      </c>
      <c r="F102" s="7" t="s">
        <v>286</v>
      </c>
      <c r="G102" s="1" t="str">
        <f t="shared" si="2"/>
        <v>Clifton</v>
      </c>
      <c r="H102" s="1" t="str">
        <f t="shared" si="3"/>
        <v>22</v>
      </c>
    </row>
    <row r="103" spans="1:8" x14ac:dyDescent="0.35">
      <c r="A103" s="2" t="s">
        <v>113</v>
      </c>
      <c r="B103" s="11">
        <v>2016</v>
      </c>
      <c r="C103" s="1">
        <v>4.5</v>
      </c>
      <c r="D103" s="1">
        <v>3.9</v>
      </c>
      <c r="E103" s="7" t="s">
        <v>195</v>
      </c>
      <c r="F103" s="7" t="s">
        <v>287</v>
      </c>
      <c r="G103" s="1" t="str">
        <f t="shared" si="2"/>
        <v>Willard</v>
      </c>
      <c r="H103" s="1" t="str">
        <f t="shared" si="3"/>
        <v>42</v>
      </c>
    </row>
    <row r="104" spans="1:8" x14ac:dyDescent="0.35">
      <c r="A104" s="2" t="s">
        <v>114</v>
      </c>
      <c r="B104" s="11">
        <v>2016</v>
      </c>
      <c r="C104" s="1">
        <v>2.6</v>
      </c>
      <c r="D104" s="1">
        <v>1.8</v>
      </c>
      <c r="E104" s="7" t="s">
        <v>183</v>
      </c>
      <c r="F104" s="7" t="s">
        <v>288</v>
      </c>
      <c r="G104" s="1" t="str">
        <f t="shared" si="2"/>
        <v>Will</v>
      </c>
      <c r="H104" s="1" t="str">
        <f t="shared" si="3"/>
        <v>20</v>
      </c>
    </row>
    <row r="105" spans="1:8" x14ac:dyDescent="0.35">
      <c r="A105" s="2" t="s">
        <v>115</v>
      </c>
      <c r="B105" s="11">
        <v>2016</v>
      </c>
      <c r="C105" s="1">
        <v>4.8</v>
      </c>
      <c r="D105" s="1">
        <v>1.9</v>
      </c>
      <c r="E105" s="7" t="s">
        <v>183</v>
      </c>
      <c r="F105" s="7" t="s">
        <v>289</v>
      </c>
      <c r="G105" s="1" t="str">
        <f t="shared" si="2"/>
        <v>Morgan</v>
      </c>
      <c r="H105" s="1" t="str">
        <f t="shared" si="3"/>
        <v>40</v>
      </c>
    </row>
    <row r="106" spans="1:8" x14ac:dyDescent="0.35">
      <c r="A106" s="2" t="s">
        <v>116</v>
      </c>
      <c r="B106" s="11">
        <v>2016</v>
      </c>
      <c r="C106" s="1">
        <v>1.3</v>
      </c>
      <c r="D106" s="1">
        <v>4</v>
      </c>
      <c r="E106" s="7" t="s">
        <v>183</v>
      </c>
      <c r="F106" s="7" t="s">
        <v>290</v>
      </c>
      <c r="G106" s="1" t="str">
        <f t="shared" si="2"/>
        <v>Jeanette</v>
      </c>
      <c r="H106" s="1" t="str">
        <f t="shared" si="3"/>
        <v>04</v>
      </c>
    </row>
    <row r="107" spans="1:8" x14ac:dyDescent="0.35">
      <c r="A107" s="2" t="s">
        <v>117</v>
      </c>
      <c r="B107" s="11">
        <v>2016</v>
      </c>
      <c r="C107" s="1">
        <v>4.9000000000000004</v>
      </c>
      <c r="D107" s="1">
        <v>3.7</v>
      </c>
      <c r="E107" s="7" t="s">
        <v>183</v>
      </c>
      <c r="F107" s="7" t="s">
        <v>291</v>
      </c>
      <c r="G107" s="1" t="str">
        <f t="shared" si="2"/>
        <v>Shannon</v>
      </c>
      <c r="H107" s="1" t="str">
        <f t="shared" si="3"/>
        <v>42</v>
      </c>
    </row>
    <row r="108" spans="1:8" x14ac:dyDescent="0.35">
      <c r="A108" s="2" t="s">
        <v>118</v>
      </c>
      <c r="B108" s="11">
        <v>2016</v>
      </c>
      <c r="C108" s="1">
        <v>0.3</v>
      </c>
      <c r="D108" s="1">
        <v>1.2</v>
      </c>
      <c r="E108" s="7" t="s">
        <v>183</v>
      </c>
      <c r="F108" s="7" t="s">
        <v>292</v>
      </c>
      <c r="G108" s="1" t="str">
        <f t="shared" si="2"/>
        <v>Laurie</v>
      </c>
      <c r="H108" s="1" t="str">
        <f t="shared" si="3"/>
        <v>00</v>
      </c>
    </row>
    <row r="109" spans="1:8" x14ac:dyDescent="0.35">
      <c r="A109" s="2" t="s">
        <v>119</v>
      </c>
      <c r="B109" s="11">
        <v>2016</v>
      </c>
      <c r="C109" s="1">
        <v>2.1</v>
      </c>
      <c r="D109" s="1">
        <v>1.3</v>
      </c>
      <c r="E109" s="7" t="s">
        <v>181</v>
      </c>
      <c r="F109" s="7" t="s">
        <v>293</v>
      </c>
      <c r="G109" s="1" t="str">
        <f t="shared" si="2"/>
        <v>Trent</v>
      </c>
      <c r="H109" s="1" t="str">
        <f t="shared" si="3"/>
        <v>20</v>
      </c>
    </row>
    <row r="110" spans="1:8" x14ac:dyDescent="0.35">
      <c r="A110" s="2" t="s">
        <v>120</v>
      </c>
      <c r="B110" s="11">
        <v>2016</v>
      </c>
      <c r="C110" s="1">
        <v>3.6</v>
      </c>
      <c r="D110" s="1">
        <v>0.9</v>
      </c>
      <c r="E110" s="7" t="s">
        <v>195</v>
      </c>
      <c r="F110" s="7" t="s">
        <v>294</v>
      </c>
      <c r="G110" s="1" t="str">
        <f t="shared" si="2"/>
        <v>Brendan</v>
      </c>
      <c r="H110" s="1" t="str">
        <f t="shared" si="3"/>
        <v>20</v>
      </c>
    </row>
    <row r="111" spans="1:8" x14ac:dyDescent="0.35">
      <c r="A111" s="2" t="s">
        <v>121</v>
      </c>
      <c r="B111" s="11">
        <v>2016</v>
      </c>
      <c r="C111" s="1">
        <v>2.2000000000000002</v>
      </c>
      <c r="D111" s="1">
        <v>3.7</v>
      </c>
      <c r="E111" s="7" t="s">
        <v>186</v>
      </c>
      <c r="F111" s="7" t="s">
        <v>295</v>
      </c>
      <c r="G111" s="1" t="str">
        <f t="shared" si="2"/>
        <v>Toby</v>
      </c>
      <c r="H111" s="1" t="str">
        <f t="shared" si="3"/>
        <v>22</v>
      </c>
    </row>
    <row r="112" spans="1:8" x14ac:dyDescent="0.35">
      <c r="A112" s="2" t="s">
        <v>122</v>
      </c>
      <c r="B112" s="11">
        <v>2016</v>
      </c>
      <c r="C112" s="1">
        <v>0.9</v>
      </c>
      <c r="D112" s="1">
        <v>2.4</v>
      </c>
      <c r="E112" s="7" t="s">
        <v>195</v>
      </c>
      <c r="F112" s="7" t="s">
        <v>296</v>
      </c>
      <c r="G112" s="1" t="str">
        <f t="shared" si="2"/>
        <v>Domingo</v>
      </c>
      <c r="H112" s="1" t="str">
        <f t="shared" si="3"/>
        <v>02</v>
      </c>
    </row>
    <row r="113" spans="1:8" x14ac:dyDescent="0.35">
      <c r="A113" s="2" t="s">
        <v>123</v>
      </c>
      <c r="B113" s="11">
        <v>2016</v>
      </c>
      <c r="C113" s="1">
        <v>2.7</v>
      </c>
      <c r="D113" s="1">
        <v>1.9</v>
      </c>
      <c r="E113" s="7" t="s">
        <v>195</v>
      </c>
      <c r="F113" s="7" t="s">
        <v>297</v>
      </c>
      <c r="G113" s="1" t="str">
        <f t="shared" si="2"/>
        <v>Santos</v>
      </c>
      <c r="H113" s="1" t="str">
        <f t="shared" si="3"/>
        <v>20</v>
      </c>
    </row>
    <row r="114" spans="1:8" x14ac:dyDescent="0.35">
      <c r="A114" s="2" t="s">
        <v>124</v>
      </c>
      <c r="B114" s="11">
        <v>2016</v>
      </c>
      <c r="C114" s="1">
        <v>0.2</v>
      </c>
      <c r="D114" s="1">
        <v>3.9</v>
      </c>
      <c r="E114" s="7" t="s">
        <v>186</v>
      </c>
      <c r="F114" s="7" t="s">
        <v>298</v>
      </c>
      <c r="G114" s="1" t="str">
        <f t="shared" si="2"/>
        <v>Cary</v>
      </c>
      <c r="H114" s="1" t="str">
        <f t="shared" si="3"/>
        <v>02</v>
      </c>
    </row>
    <row r="115" spans="1:8" x14ac:dyDescent="0.35">
      <c r="A115" s="2" t="s">
        <v>125</v>
      </c>
      <c r="B115" s="11">
        <v>2016</v>
      </c>
      <c r="C115" s="1">
        <v>1.4</v>
      </c>
      <c r="D115" s="1">
        <v>3.7</v>
      </c>
      <c r="E115" s="7" t="s">
        <v>186</v>
      </c>
      <c r="F115" s="7" t="s">
        <v>299</v>
      </c>
      <c r="G115" s="1" t="str">
        <f t="shared" si="2"/>
        <v>Simon</v>
      </c>
      <c r="H115" s="1" t="str">
        <f t="shared" si="3"/>
        <v>02</v>
      </c>
    </row>
    <row r="116" spans="1:8" x14ac:dyDescent="0.35">
      <c r="A116" s="2" t="s">
        <v>126</v>
      </c>
      <c r="B116" s="11">
        <v>2016</v>
      </c>
      <c r="C116" s="1">
        <v>0.7</v>
      </c>
      <c r="D116" s="1">
        <v>1.3</v>
      </c>
      <c r="E116" s="7" t="s">
        <v>195</v>
      </c>
      <c r="F116" s="7" t="s">
        <v>300</v>
      </c>
      <c r="G116" s="1" t="str">
        <f t="shared" si="2"/>
        <v>Marshall</v>
      </c>
      <c r="H116" s="1" t="str">
        <f t="shared" si="3"/>
        <v>00</v>
      </c>
    </row>
    <row r="117" spans="1:8" x14ac:dyDescent="0.35">
      <c r="A117" s="2" t="s">
        <v>127</v>
      </c>
      <c r="B117" s="11">
        <v>2016</v>
      </c>
      <c r="C117" s="1">
        <v>2</v>
      </c>
      <c r="D117" s="1">
        <v>2.2000000000000002</v>
      </c>
      <c r="E117" s="7" t="s">
        <v>183</v>
      </c>
      <c r="F117" s="7" t="s">
        <v>301</v>
      </c>
      <c r="G117" s="1" t="str">
        <f t="shared" si="2"/>
        <v>Emanuel</v>
      </c>
      <c r="H117" s="1" t="str">
        <f t="shared" si="3"/>
        <v>22</v>
      </c>
    </row>
    <row r="118" spans="1:8" x14ac:dyDescent="0.35">
      <c r="A118" s="2" t="s">
        <v>128</v>
      </c>
      <c r="B118" s="11">
        <v>2016</v>
      </c>
      <c r="C118" s="1">
        <v>1.5</v>
      </c>
      <c r="D118" s="1">
        <v>3.1</v>
      </c>
      <c r="E118" s="7" t="s">
        <v>195</v>
      </c>
      <c r="F118" s="7" t="s">
        <v>302</v>
      </c>
      <c r="G118" s="1" t="str">
        <f t="shared" si="2"/>
        <v>Courtney</v>
      </c>
      <c r="H118" s="1" t="str">
        <f t="shared" si="3"/>
        <v>02</v>
      </c>
    </row>
    <row r="119" spans="1:8" x14ac:dyDescent="0.35">
      <c r="A119" s="2" t="s">
        <v>129</v>
      </c>
      <c r="B119" s="11">
        <v>2016</v>
      </c>
      <c r="C119" s="1">
        <v>2.9</v>
      </c>
      <c r="D119" s="1">
        <v>3.6</v>
      </c>
      <c r="E119" s="7" t="s">
        <v>195</v>
      </c>
      <c r="F119" s="7" t="s">
        <v>303</v>
      </c>
      <c r="G119" s="1" t="str">
        <f t="shared" si="2"/>
        <v>Daryl</v>
      </c>
      <c r="H119" s="1" t="str">
        <f t="shared" si="3"/>
        <v>22</v>
      </c>
    </row>
    <row r="120" spans="1:8" x14ac:dyDescent="0.35">
      <c r="A120" s="2" t="s">
        <v>130</v>
      </c>
      <c r="B120" s="11">
        <v>2016</v>
      </c>
      <c r="C120" s="1">
        <v>3.4</v>
      </c>
      <c r="D120" s="1">
        <v>1.5</v>
      </c>
      <c r="E120" s="7" t="s">
        <v>195</v>
      </c>
      <c r="F120" s="7" t="s">
        <v>304</v>
      </c>
      <c r="G120" s="1" t="str">
        <f t="shared" si="2"/>
        <v>Jan</v>
      </c>
      <c r="H120" s="1" t="str">
        <f t="shared" si="3"/>
        <v>20</v>
      </c>
    </row>
    <row r="121" spans="1:8" x14ac:dyDescent="0.35">
      <c r="A121" s="2" t="s">
        <v>131</v>
      </c>
      <c r="B121" s="11">
        <v>2016</v>
      </c>
      <c r="C121" s="1">
        <v>4.7</v>
      </c>
      <c r="D121" s="1">
        <v>2.5</v>
      </c>
      <c r="E121" s="7" t="s">
        <v>183</v>
      </c>
      <c r="F121" s="7" t="s">
        <v>305</v>
      </c>
      <c r="G121" s="1" t="str">
        <f t="shared" si="2"/>
        <v>Brittany</v>
      </c>
      <c r="H121" s="1" t="str">
        <f t="shared" si="3"/>
        <v>42</v>
      </c>
    </row>
    <row r="122" spans="1:8" x14ac:dyDescent="0.35">
      <c r="A122" s="2" t="s">
        <v>132</v>
      </c>
      <c r="B122" s="11">
        <v>2016</v>
      </c>
      <c r="C122" s="1">
        <v>4.9000000000000004</v>
      </c>
      <c r="D122" s="1">
        <v>1.1000000000000001</v>
      </c>
      <c r="E122" s="7" t="s">
        <v>183</v>
      </c>
      <c r="F122" s="7" t="s">
        <v>306</v>
      </c>
      <c r="G122" s="1" t="str">
        <f t="shared" si="2"/>
        <v>Demetrius</v>
      </c>
      <c r="H122" s="1" t="str">
        <f t="shared" si="3"/>
        <v>40</v>
      </c>
    </row>
    <row r="123" spans="1:8" x14ac:dyDescent="0.35">
      <c r="A123" s="2" t="s">
        <v>133</v>
      </c>
      <c r="B123" s="11">
        <v>2016</v>
      </c>
      <c r="C123" s="1">
        <v>2.1</v>
      </c>
      <c r="D123" s="1">
        <v>2.2000000000000002</v>
      </c>
      <c r="E123" s="7" t="s">
        <v>181</v>
      </c>
      <c r="F123" s="7" t="s">
        <v>307</v>
      </c>
      <c r="G123" s="1" t="str">
        <f t="shared" si="2"/>
        <v>Irving</v>
      </c>
      <c r="H123" s="1" t="str">
        <f t="shared" si="3"/>
        <v>22</v>
      </c>
    </row>
    <row r="124" spans="1:8" x14ac:dyDescent="0.35">
      <c r="A124" s="2" t="s">
        <v>134</v>
      </c>
      <c r="B124" s="11">
        <v>2016</v>
      </c>
      <c r="C124" s="1">
        <v>0.7</v>
      </c>
      <c r="D124" s="1">
        <v>3.8</v>
      </c>
      <c r="E124" s="7" t="s">
        <v>183</v>
      </c>
      <c r="F124" s="7" t="s">
        <v>308</v>
      </c>
      <c r="G124" s="1" t="str">
        <f t="shared" si="2"/>
        <v>Edmond</v>
      </c>
      <c r="H124" s="1" t="str">
        <f t="shared" si="3"/>
        <v>02</v>
      </c>
    </row>
    <row r="125" spans="1:8" x14ac:dyDescent="0.35">
      <c r="A125" s="2" t="s">
        <v>135</v>
      </c>
      <c r="B125" s="11">
        <v>2016</v>
      </c>
      <c r="C125" s="1">
        <v>1.8</v>
      </c>
      <c r="D125" s="1">
        <v>4.4000000000000004</v>
      </c>
      <c r="E125" s="7" t="s">
        <v>183</v>
      </c>
      <c r="F125" s="7" t="s">
        <v>309</v>
      </c>
      <c r="G125" s="1" t="str">
        <f t="shared" si="2"/>
        <v>Yolanda</v>
      </c>
      <c r="H125" s="1" t="str">
        <f t="shared" si="3"/>
        <v>04</v>
      </c>
    </row>
    <row r="126" spans="1:8" x14ac:dyDescent="0.35">
      <c r="A126" s="2" t="s">
        <v>136</v>
      </c>
      <c r="B126" s="11">
        <v>2016</v>
      </c>
      <c r="C126" s="1">
        <v>0.9</v>
      </c>
      <c r="D126" s="1">
        <v>0.6</v>
      </c>
      <c r="E126" s="7" t="s">
        <v>195</v>
      </c>
      <c r="F126" s="7" t="s">
        <v>310</v>
      </c>
      <c r="G126" s="1" t="str">
        <f t="shared" si="2"/>
        <v>Randal</v>
      </c>
      <c r="H126" s="1" t="str">
        <f t="shared" si="3"/>
        <v>00</v>
      </c>
    </row>
    <row r="127" spans="1:8" x14ac:dyDescent="0.35">
      <c r="A127" s="2" t="s">
        <v>137</v>
      </c>
      <c r="B127" s="11">
        <v>2016</v>
      </c>
      <c r="C127" s="1">
        <v>1</v>
      </c>
      <c r="D127" s="1">
        <v>3</v>
      </c>
      <c r="E127" s="7" t="s">
        <v>183</v>
      </c>
      <c r="F127" s="7" t="s">
        <v>311</v>
      </c>
      <c r="G127" s="1" t="str">
        <f t="shared" si="2"/>
        <v>Edith</v>
      </c>
      <c r="H127" s="1" t="str">
        <f t="shared" si="3"/>
        <v>02</v>
      </c>
    </row>
    <row r="128" spans="1:8" x14ac:dyDescent="0.35">
      <c r="A128" s="2" t="s">
        <v>138</v>
      </c>
      <c r="B128" s="11">
        <v>2016</v>
      </c>
      <c r="C128" s="1">
        <v>4.4000000000000004</v>
      </c>
      <c r="D128" s="1">
        <v>2.9</v>
      </c>
      <c r="E128" s="7" t="s">
        <v>183</v>
      </c>
      <c r="F128" s="7" t="s">
        <v>312</v>
      </c>
      <c r="G128" s="1" t="str">
        <f t="shared" si="2"/>
        <v>Teddy</v>
      </c>
      <c r="H128" s="1" t="str">
        <f t="shared" si="3"/>
        <v>42</v>
      </c>
    </row>
    <row r="129" spans="1:8" x14ac:dyDescent="0.35">
      <c r="A129" s="2" t="s">
        <v>139</v>
      </c>
      <c r="B129" s="11">
        <v>2016</v>
      </c>
      <c r="C129" s="1">
        <v>4.7</v>
      </c>
      <c r="D129" s="1">
        <v>2.8</v>
      </c>
      <c r="E129" s="7" t="s">
        <v>183</v>
      </c>
      <c r="F129" s="7" t="s">
        <v>313</v>
      </c>
      <c r="G129" s="1" t="str">
        <f t="shared" si="2"/>
        <v>Kim</v>
      </c>
      <c r="H129" s="1" t="str">
        <f t="shared" si="3"/>
        <v>42</v>
      </c>
    </row>
    <row r="130" spans="1:8" x14ac:dyDescent="0.35">
      <c r="A130" s="2" t="s">
        <v>140</v>
      </c>
      <c r="B130" s="11">
        <v>2016</v>
      </c>
      <c r="C130" s="1">
        <v>3.6</v>
      </c>
      <c r="D130" s="1">
        <v>3.9</v>
      </c>
      <c r="E130" s="7" t="s">
        <v>183</v>
      </c>
      <c r="F130" s="7" t="s">
        <v>314</v>
      </c>
      <c r="G130" s="1" t="str">
        <f t="shared" ref="G130:G193" si="4">LEFT(F130,FIND(" ",F130)-1)</f>
        <v>Sherry</v>
      </c>
      <c r="H130" s="1" t="str">
        <f t="shared" ref="H130:H193" si="5">FLOOR(C130,2)&amp;FLOOR(D130,2)</f>
        <v>22</v>
      </c>
    </row>
    <row r="131" spans="1:8" x14ac:dyDescent="0.35">
      <c r="A131" s="2" t="s">
        <v>141</v>
      </c>
      <c r="B131" s="11">
        <v>2016</v>
      </c>
      <c r="C131" s="1">
        <v>3.6</v>
      </c>
      <c r="D131" s="1">
        <v>2.1</v>
      </c>
      <c r="E131" s="7" t="s">
        <v>183</v>
      </c>
      <c r="F131" s="7" t="s">
        <v>315</v>
      </c>
      <c r="G131" s="1" t="str">
        <f t="shared" si="4"/>
        <v>Salvador</v>
      </c>
      <c r="H131" s="1" t="str">
        <f t="shared" si="5"/>
        <v>22</v>
      </c>
    </row>
    <row r="132" spans="1:8" x14ac:dyDescent="0.35">
      <c r="A132" s="2" t="s">
        <v>142</v>
      </c>
      <c r="B132" s="11">
        <v>2016</v>
      </c>
      <c r="C132" s="1">
        <v>1.8</v>
      </c>
      <c r="D132" s="1">
        <v>1.1000000000000001</v>
      </c>
      <c r="E132" s="7" t="s">
        <v>183</v>
      </c>
      <c r="F132" s="7" t="s">
        <v>316</v>
      </c>
      <c r="G132" s="1" t="str">
        <f t="shared" si="4"/>
        <v>Kirk</v>
      </c>
      <c r="H132" s="1" t="str">
        <f t="shared" si="5"/>
        <v>00</v>
      </c>
    </row>
    <row r="133" spans="1:8" x14ac:dyDescent="0.35">
      <c r="A133" s="2" t="s">
        <v>143</v>
      </c>
      <c r="B133" s="11">
        <v>2016</v>
      </c>
      <c r="C133" s="1">
        <v>1.8</v>
      </c>
      <c r="D133" s="1">
        <v>1</v>
      </c>
      <c r="E133" s="7" t="s">
        <v>183</v>
      </c>
      <c r="F133" s="7" t="s">
        <v>317</v>
      </c>
      <c r="G133" s="1" t="str">
        <f t="shared" si="4"/>
        <v>Johnnie</v>
      </c>
      <c r="H133" s="1" t="str">
        <f t="shared" si="5"/>
        <v>00</v>
      </c>
    </row>
    <row r="134" spans="1:8" x14ac:dyDescent="0.35">
      <c r="A134" s="2" t="s">
        <v>144</v>
      </c>
      <c r="B134" s="11">
        <v>2016</v>
      </c>
      <c r="C134" s="1">
        <v>2.2999999999999998</v>
      </c>
      <c r="D134" s="1">
        <v>0.8</v>
      </c>
      <c r="E134" s="7" t="s">
        <v>183</v>
      </c>
      <c r="F134" s="7" t="s">
        <v>318</v>
      </c>
      <c r="G134" s="1" t="str">
        <f t="shared" si="4"/>
        <v>Sidney</v>
      </c>
      <c r="H134" s="1" t="str">
        <f t="shared" si="5"/>
        <v>20</v>
      </c>
    </row>
    <row r="135" spans="1:8" x14ac:dyDescent="0.35">
      <c r="A135" s="2" t="s">
        <v>145</v>
      </c>
      <c r="B135" s="11">
        <v>2016</v>
      </c>
      <c r="C135" s="1">
        <v>4.7</v>
      </c>
      <c r="D135" s="1">
        <v>1.2</v>
      </c>
      <c r="E135" s="7" t="s">
        <v>183</v>
      </c>
      <c r="F135" s="7" t="s">
        <v>319</v>
      </c>
      <c r="G135" s="1" t="str">
        <f t="shared" si="4"/>
        <v>Grace</v>
      </c>
      <c r="H135" s="1" t="str">
        <f t="shared" si="5"/>
        <v>40</v>
      </c>
    </row>
    <row r="136" spans="1:8" x14ac:dyDescent="0.35">
      <c r="A136" s="2" t="s">
        <v>146</v>
      </c>
      <c r="B136" s="11">
        <v>2016</v>
      </c>
      <c r="C136" s="1">
        <v>4.9000000000000004</v>
      </c>
      <c r="D136" s="1">
        <v>0.7</v>
      </c>
      <c r="E136" s="7" t="s">
        <v>183</v>
      </c>
      <c r="F136" s="7" t="s">
        <v>320</v>
      </c>
      <c r="G136" s="1" t="str">
        <f t="shared" si="4"/>
        <v>Kristopher</v>
      </c>
      <c r="H136" s="1" t="str">
        <f t="shared" si="5"/>
        <v>40</v>
      </c>
    </row>
    <row r="137" spans="1:8" x14ac:dyDescent="0.35">
      <c r="A137" s="2" t="s">
        <v>147</v>
      </c>
      <c r="B137" s="11">
        <v>2016</v>
      </c>
      <c r="C137" s="1">
        <v>3</v>
      </c>
      <c r="D137" s="1">
        <v>3.5</v>
      </c>
      <c r="E137" s="7" t="s">
        <v>186</v>
      </c>
      <c r="F137" s="7" t="s">
        <v>321</v>
      </c>
      <c r="G137" s="1" t="str">
        <f t="shared" si="4"/>
        <v>Mack</v>
      </c>
      <c r="H137" s="1" t="str">
        <f t="shared" si="5"/>
        <v>22</v>
      </c>
    </row>
    <row r="138" spans="1:8" x14ac:dyDescent="0.35">
      <c r="A138" s="2" t="s">
        <v>148</v>
      </c>
      <c r="B138" s="11">
        <v>2016</v>
      </c>
      <c r="C138" s="1">
        <v>1.6</v>
      </c>
      <c r="D138" s="1">
        <v>3.8</v>
      </c>
      <c r="E138" s="7" t="s">
        <v>186</v>
      </c>
      <c r="F138" s="7" t="s">
        <v>322</v>
      </c>
      <c r="G138" s="1" t="str">
        <f t="shared" si="4"/>
        <v>Gilberto</v>
      </c>
      <c r="H138" s="1" t="str">
        <f t="shared" si="5"/>
        <v>02</v>
      </c>
    </row>
    <row r="139" spans="1:8" x14ac:dyDescent="0.35">
      <c r="A139" s="2" t="s">
        <v>149</v>
      </c>
      <c r="B139" s="11">
        <v>2016</v>
      </c>
      <c r="C139" s="1">
        <v>0.1</v>
      </c>
      <c r="D139" s="1">
        <v>2.5</v>
      </c>
      <c r="E139" s="7" t="s">
        <v>186</v>
      </c>
      <c r="F139" s="7" t="s">
        <v>323</v>
      </c>
      <c r="G139" s="1" t="str">
        <f t="shared" si="4"/>
        <v>Dallas</v>
      </c>
      <c r="H139" s="1" t="str">
        <f t="shared" si="5"/>
        <v>02</v>
      </c>
    </row>
    <row r="140" spans="1:8" x14ac:dyDescent="0.35">
      <c r="A140" s="2" t="s">
        <v>150</v>
      </c>
      <c r="B140" s="11">
        <v>2016</v>
      </c>
      <c r="C140" s="1">
        <v>2.7</v>
      </c>
      <c r="D140" s="1">
        <v>3.8</v>
      </c>
      <c r="E140" s="7" t="s">
        <v>186</v>
      </c>
      <c r="F140" s="7" t="s">
        <v>324</v>
      </c>
      <c r="G140" s="1" t="str">
        <f t="shared" si="4"/>
        <v>Dewey</v>
      </c>
      <c r="H140" s="1" t="str">
        <f t="shared" si="5"/>
        <v>22</v>
      </c>
    </row>
    <row r="141" spans="1:8" x14ac:dyDescent="0.35">
      <c r="A141" s="2" t="s">
        <v>151</v>
      </c>
      <c r="B141" s="11">
        <v>2016</v>
      </c>
      <c r="C141" s="1">
        <v>2.2999999999999998</v>
      </c>
      <c r="D141" s="1">
        <v>1.5</v>
      </c>
      <c r="E141" s="7" t="s">
        <v>186</v>
      </c>
      <c r="F141" s="7" t="s">
        <v>325</v>
      </c>
      <c r="G141" s="1" t="str">
        <f t="shared" si="4"/>
        <v>Clint</v>
      </c>
      <c r="H141" s="1" t="str">
        <f t="shared" si="5"/>
        <v>20</v>
      </c>
    </row>
    <row r="142" spans="1:8" x14ac:dyDescent="0.35">
      <c r="A142" s="2" t="s">
        <v>152</v>
      </c>
      <c r="B142" s="11">
        <v>2016</v>
      </c>
      <c r="C142" s="1">
        <v>4.3</v>
      </c>
      <c r="D142" s="1">
        <v>2.5</v>
      </c>
      <c r="E142" s="7" t="s">
        <v>186</v>
      </c>
      <c r="F142" s="7" t="s">
        <v>326</v>
      </c>
      <c r="G142" s="1" t="str">
        <f t="shared" si="4"/>
        <v>Nicolas</v>
      </c>
      <c r="H142" s="1" t="str">
        <f t="shared" si="5"/>
        <v>42</v>
      </c>
    </row>
    <row r="143" spans="1:8" x14ac:dyDescent="0.35">
      <c r="A143" s="2" t="s">
        <v>153</v>
      </c>
      <c r="B143" s="11">
        <v>2016</v>
      </c>
      <c r="C143" s="1">
        <v>2.7</v>
      </c>
      <c r="D143" s="1">
        <v>0.8</v>
      </c>
      <c r="E143" s="7" t="s">
        <v>186</v>
      </c>
      <c r="F143" s="7" t="s">
        <v>327</v>
      </c>
      <c r="G143" s="1" t="str">
        <f t="shared" si="4"/>
        <v>Laurence</v>
      </c>
      <c r="H143" s="1" t="str">
        <f t="shared" si="5"/>
        <v>20</v>
      </c>
    </row>
    <row r="144" spans="1:8" x14ac:dyDescent="0.35">
      <c r="A144" s="2" t="s">
        <v>154</v>
      </c>
      <c r="B144" s="11">
        <v>2016</v>
      </c>
      <c r="C144" s="1">
        <v>4.9000000000000004</v>
      </c>
      <c r="D144" s="1">
        <v>1.3</v>
      </c>
      <c r="E144" s="7" t="s">
        <v>186</v>
      </c>
      <c r="F144" s="7" t="s">
        <v>328</v>
      </c>
      <c r="G144" s="1" t="str">
        <f t="shared" si="4"/>
        <v>Ismael</v>
      </c>
      <c r="H144" s="1" t="str">
        <f t="shared" si="5"/>
        <v>40</v>
      </c>
    </row>
    <row r="145" spans="1:8" x14ac:dyDescent="0.35">
      <c r="A145" s="2" t="s">
        <v>155</v>
      </c>
      <c r="B145" s="11">
        <v>2016</v>
      </c>
      <c r="C145" s="1">
        <v>0.9</v>
      </c>
      <c r="D145" s="1">
        <v>4.5</v>
      </c>
      <c r="E145" s="7" t="s">
        <v>186</v>
      </c>
      <c r="F145" s="7" t="s">
        <v>329</v>
      </c>
      <c r="G145" s="1" t="str">
        <f t="shared" si="4"/>
        <v>Orville</v>
      </c>
      <c r="H145" s="1" t="str">
        <f t="shared" si="5"/>
        <v>04</v>
      </c>
    </row>
    <row r="146" spans="1:8" x14ac:dyDescent="0.35">
      <c r="A146" s="2" t="s">
        <v>156</v>
      </c>
      <c r="B146" s="11">
        <v>2016</v>
      </c>
      <c r="C146" s="1">
        <v>1.7</v>
      </c>
      <c r="D146" s="1">
        <v>0.5</v>
      </c>
      <c r="E146" s="7" t="s">
        <v>186</v>
      </c>
      <c r="F146" s="7" t="s">
        <v>330</v>
      </c>
      <c r="G146" s="1" t="str">
        <f t="shared" si="4"/>
        <v>Drew</v>
      </c>
      <c r="H146" s="1" t="str">
        <f t="shared" si="5"/>
        <v>00</v>
      </c>
    </row>
    <row r="147" spans="1:8" x14ac:dyDescent="0.35">
      <c r="A147" s="2" t="s">
        <v>157</v>
      </c>
      <c r="B147" s="11">
        <v>2016</v>
      </c>
      <c r="C147" s="1">
        <v>4.2</v>
      </c>
      <c r="D147" s="1">
        <v>3</v>
      </c>
      <c r="E147" s="7" t="s">
        <v>186</v>
      </c>
      <c r="F147" s="7" t="s">
        <v>331</v>
      </c>
      <c r="G147" s="1" t="str">
        <f t="shared" si="4"/>
        <v>Jody</v>
      </c>
      <c r="H147" s="1" t="str">
        <f t="shared" si="5"/>
        <v>42</v>
      </c>
    </row>
    <row r="148" spans="1:8" x14ac:dyDescent="0.35">
      <c r="A148" s="2" t="s">
        <v>158</v>
      </c>
      <c r="B148" s="11">
        <v>2016</v>
      </c>
      <c r="C148" s="1">
        <v>1</v>
      </c>
      <c r="D148" s="1">
        <v>3</v>
      </c>
      <c r="E148" s="7" t="s">
        <v>186</v>
      </c>
      <c r="F148" s="7" t="s">
        <v>332</v>
      </c>
      <c r="G148" s="1" t="str">
        <f t="shared" si="4"/>
        <v>Ervin</v>
      </c>
      <c r="H148" s="1" t="str">
        <f t="shared" si="5"/>
        <v>02</v>
      </c>
    </row>
    <row r="149" spans="1:8" x14ac:dyDescent="0.35">
      <c r="A149" s="2" t="s">
        <v>159</v>
      </c>
      <c r="B149" s="11">
        <v>2016</v>
      </c>
      <c r="C149" s="1">
        <v>2.5</v>
      </c>
      <c r="D149" s="1">
        <v>1.4</v>
      </c>
      <c r="E149" s="7" t="s">
        <v>183</v>
      </c>
      <c r="F149" s="7" t="s">
        <v>333</v>
      </c>
      <c r="G149" s="1" t="str">
        <f t="shared" si="4"/>
        <v>WALLY</v>
      </c>
      <c r="H149" s="1" t="str">
        <f t="shared" si="5"/>
        <v>20</v>
      </c>
    </row>
    <row r="150" spans="1:8" x14ac:dyDescent="0.35">
      <c r="A150" s="2" t="s">
        <v>160</v>
      </c>
      <c r="B150" s="11">
        <v>2016</v>
      </c>
      <c r="C150" s="1">
        <v>1.9</v>
      </c>
      <c r="D150" s="1">
        <v>2</v>
      </c>
      <c r="E150" s="7" t="s">
        <v>183</v>
      </c>
      <c r="F150" s="7" t="s">
        <v>334</v>
      </c>
      <c r="G150" s="1" t="str">
        <f t="shared" si="4"/>
        <v>Wendy</v>
      </c>
      <c r="H150" s="1" t="str">
        <f t="shared" si="5"/>
        <v>02</v>
      </c>
    </row>
    <row r="151" spans="1:8" x14ac:dyDescent="0.35">
      <c r="A151" s="2" t="s">
        <v>161</v>
      </c>
      <c r="B151" s="11">
        <v>2016</v>
      </c>
      <c r="C151" s="1">
        <v>3.3</v>
      </c>
      <c r="D151" s="1">
        <v>3.8</v>
      </c>
      <c r="E151" s="7" t="s">
        <v>183</v>
      </c>
      <c r="F151" s="7" t="s">
        <v>335</v>
      </c>
      <c r="G151" s="1" t="str">
        <f t="shared" si="4"/>
        <v>Emil</v>
      </c>
      <c r="H151" s="1" t="str">
        <f t="shared" si="5"/>
        <v>22</v>
      </c>
    </row>
    <row r="152" spans="1:8" x14ac:dyDescent="0.35">
      <c r="A152" s="2" t="s">
        <v>162</v>
      </c>
      <c r="B152" s="11">
        <v>2016</v>
      </c>
      <c r="C152" s="1">
        <v>0.1</v>
      </c>
      <c r="D152" s="1">
        <v>4.2</v>
      </c>
      <c r="E152" s="7" t="s">
        <v>181</v>
      </c>
      <c r="F152" s="7" t="s">
        <v>336</v>
      </c>
      <c r="G152" s="1" t="str">
        <f t="shared" si="4"/>
        <v>Emmanuel</v>
      </c>
      <c r="H152" s="1" t="str">
        <f t="shared" si="5"/>
        <v>04</v>
      </c>
    </row>
    <row r="153" spans="1:8" x14ac:dyDescent="0.35">
      <c r="A153" s="2" t="s">
        <v>163</v>
      </c>
      <c r="B153" s="11">
        <v>2016</v>
      </c>
      <c r="C153" s="1">
        <v>4.7</v>
      </c>
      <c r="D153" s="1">
        <v>3.7</v>
      </c>
      <c r="E153" s="7" t="s">
        <v>181</v>
      </c>
      <c r="F153" s="7" t="s">
        <v>337</v>
      </c>
      <c r="G153" s="1" t="str">
        <f t="shared" si="4"/>
        <v>Roberta</v>
      </c>
      <c r="H153" s="1" t="str">
        <f t="shared" si="5"/>
        <v>42</v>
      </c>
    </row>
    <row r="154" spans="1:8" x14ac:dyDescent="0.35">
      <c r="A154" s="2" t="s">
        <v>164</v>
      </c>
      <c r="B154" s="11">
        <v>2016</v>
      </c>
      <c r="C154" s="1">
        <v>4.7</v>
      </c>
      <c r="D154" s="1">
        <v>2.8</v>
      </c>
      <c r="E154" s="7" t="s">
        <v>183</v>
      </c>
      <c r="F154" s="7" t="s">
        <v>338</v>
      </c>
      <c r="G154" s="1" t="str">
        <f t="shared" si="4"/>
        <v>Kristen</v>
      </c>
      <c r="H154" s="1" t="str">
        <f t="shared" si="5"/>
        <v>42</v>
      </c>
    </row>
    <row r="155" spans="1:8" x14ac:dyDescent="0.35">
      <c r="A155" s="2" t="s">
        <v>165</v>
      </c>
      <c r="B155" s="11">
        <v>2016</v>
      </c>
      <c r="C155" s="1">
        <v>2.4</v>
      </c>
      <c r="D155" s="1">
        <v>3</v>
      </c>
      <c r="E155" s="7" t="s">
        <v>183</v>
      </c>
      <c r="F155" s="7" t="s">
        <v>339</v>
      </c>
      <c r="G155" s="1" t="str">
        <f t="shared" si="4"/>
        <v>Heath</v>
      </c>
      <c r="H155" s="1" t="str">
        <f t="shared" si="5"/>
        <v>22</v>
      </c>
    </row>
    <row r="156" spans="1:8" x14ac:dyDescent="0.35">
      <c r="A156" s="2" t="s">
        <v>166</v>
      </c>
      <c r="B156" s="11">
        <v>2016</v>
      </c>
      <c r="C156" s="1">
        <v>4.0999999999999996</v>
      </c>
      <c r="D156" s="1">
        <v>3.3</v>
      </c>
      <c r="E156" s="7" t="s">
        <v>186</v>
      </c>
      <c r="F156" s="7" t="s">
        <v>340</v>
      </c>
      <c r="G156" s="1" t="str">
        <f t="shared" si="4"/>
        <v>Sylvia</v>
      </c>
      <c r="H156" s="1" t="str">
        <f t="shared" si="5"/>
        <v>42</v>
      </c>
    </row>
    <row r="157" spans="1:8" x14ac:dyDescent="0.35">
      <c r="A157" s="2" t="s">
        <v>167</v>
      </c>
      <c r="B157" s="11">
        <v>2016</v>
      </c>
      <c r="C157" s="1">
        <v>3.9</v>
      </c>
      <c r="D157" s="1">
        <v>0.9</v>
      </c>
      <c r="E157" s="7" t="s">
        <v>183</v>
      </c>
      <c r="F157" s="7" t="s">
        <v>341</v>
      </c>
      <c r="G157" s="1" t="str">
        <f t="shared" si="4"/>
        <v>Sergio</v>
      </c>
      <c r="H157" s="1" t="str">
        <f t="shared" si="5"/>
        <v>20</v>
      </c>
    </row>
    <row r="158" spans="1:8" x14ac:dyDescent="0.35">
      <c r="A158" s="2" t="s">
        <v>168</v>
      </c>
      <c r="B158" s="11">
        <v>2016</v>
      </c>
      <c r="C158" s="1">
        <v>2.2999999999999998</v>
      </c>
      <c r="D158" s="1">
        <v>2.4</v>
      </c>
      <c r="E158" s="7" t="s">
        <v>183</v>
      </c>
      <c r="F158" s="7" t="s">
        <v>342</v>
      </c>
      <c r="G158" s="1" t="str">
        <f t="shared" si="4"/>
        <v>Sammy</v>
      </c>
      <c r="H158" s="1" t="str">
        <f t="shared" si="5"/>
        <v>22</v>
      </c>
    </row>
    <row r="159" spans="1:8" x14ac:dyDescent="0.35">
      <c r="A159" s="2" t="s">
        <v>169</v>
      </c>
      <c r="B159" s="11">
        <v>2016</v>
      </c>
      <c r="C159" s="1">
        <v>4.5</v>
      </c>
      <c r="D159" s="1">
        <v>2.9</v>
      </c>
      <c r="E159" s="7" t="s">
        <v>186</v>
      </c>
      <c r="F159" s="7" t="s">
        <v>343</v>
      </c>
      <c r="G159" s="1" t="str">
        <f t="shared" si="4"/>
        <v>Ellis</v>
      </c>
      <c r="H159" s="1" t="str">
        <f t="shared" si="5"/>
        <v>42</v>
      </c>
    </row>
    <row r="160" spans="1:8" x14ac:dyDescent="0.35">
      <c r="A160" s="2" t="s">
        <v>170</v>
      </c>
      <c r="B160" s="11">
        <v>2016</v>
      </c>
      <c r="C160" s="1">
        <v>4.4000000000000004</v>
      </c>
      <c r="D160" s="1">
        <v>2.9</v>
      </c>
      <c r="E160" s="7" t="s">
        <v>186</v>
      </c>
      <c r="F160" s="7" t="s">
        <v>344</v>
      </c>
      <c r="G160" s="1" t="str">
        <f t="shared" si="4"/>
        <v>Hugo</v>
      </c>
      <c r="H160" s="1" t="str">
        <f t="shared" si="5"/>
        <v>42</v>
      </c>
    </row>
    <row r="161" spans="1:8" x14ac:dyDescent="0.35">
      <c r="A161" s="2" t="s">
        <v>171</v>
      </c>
      <c r="B161" s="11">
        <v>2016</v>
      </c>
      <c r="C161" s="1">
        <v>2.5</v>
      </c>
      <c r="D161" s="1">
        <v>1.9</v>
      </c>
      <c r="E161" s="7" t="s">
        <v>186</v>
      </c>
      <c r="F161" s="7" t="s">
        <v>345</v>
      </c>
      <c r="G161" s="1" t="str">
        <f t="shared" si="4"/>
        <v>Caleb</v>
      </c>
      <c r="H161" s="1" t="str">
        <f t="shared" si="5"/>
        <v>20</v>
      </c>
    </row>
    <row r="162" spans="1:8" x14ac:dyDescent="0.35">
      <c r="A162" s="2" t="s">
        <v>172</v>
      </c>
      <c r="B162" s="11">
        <v>2016</v>
      </c>
      <c r="C162" s="1">
        <v>3</v>
      </c>
      <c r="D162" s="1">
        <v>2.6</v>
      </c>
      <c r="E162" s="7" t="s">
        <v>186</v>
      </c>
      <c r="F162" s="7" t="s">
        <v>346</v>
      </c>
      <c r="G162" s="1" t="str">
        <f t="shared" si="4"/>
        <v>Tomas</v>
      </c>
      <c r="H162" s="1" t="str">
        <f t="shared" si="5"/>
        <v>22</v>
      </c>
    </row>
    <row r="163" spans="1:8" x14ac:dyDescent="0.35">
      <c r="A163" s="2" t="s">
        <v>173</v>
      </c>
      <c r="B163" s="11">
        <v>2016</v>
      </c>
      <c r="C163" s="1">
        <v>4.9000000000000004</v>
      </c>
      <c r="D163" s="1">
        <v>1.1000000000000001</v>
      </c>
      <c r="E163" s="7" t="s">
        <v>183</v>
      </c>
      <c r="F163" s="7" t="s">
        <v>347</v>
      </c>
      <c r="G163" s="1" t="str">
        <f t="shared" si="4"/>
        <v>Melanie</v>
      </c>
      <c r="H163" s="1" t="str">
        <f t="shared" si="5"/>
        <v>40</v>
      </c>
    </row>
    <row r="164" spans="1:8" x14ac:dyDescent="0.35">
      <c r="A164" s="2" t="s">
        <v>174</v>
      </c>
      <c r="B164" s="11">
        <v>2016</v>
      </c>
      <c r="C164" s="1">
        <v>3.8</v>
      </c>
      <c r="D164" s="1">
        <v>3.9</v>
      </c>
      <c r="E164" s="7" t="s">
        <v>183</v>
      </c>
      <c r="F164" s="7" t="s">
        <v>348</v>
      </c>
      <c r="G164" s="1" t="str">
        <f t="shared" si="4"/>
        <v>Marlon</v>
      </c>
      <c r="H164" s="1" t="str">
        <f t="shared" si="5"/>
        <v>22</v>
      </c>
    </row>
    <row r="165" spans="1:8" x14ac:dyDescent="0.35">
      <c r="A165" s="2" t="s">
        <v>175</v>
      </c>
      <c r="B165" s="11">
        <v>2016</v>
      </c>
      <c r="C165" s="1">
        <v>4.5999999999999996</v>
      </c>
      <c r="D165" s="1">
        <v>2.7</v>
      </c>
      <c r="E165" s="7" t="s">
        <v>183</v>
      </c>
      <c r="F165" s="7" t="s">
        <v>349</v>
      </c>
      <c r="G165" s="1" t="str">
        <f t="shared" si="4"/>
        <v>Jerald</v>
      </c>
      <c r="H165" s="1" t="str">
        <f t="shared" si="5"/>
        <v>42</v>
      </c>
    </row>
    <row r="166" spans="1:8" x14ac:dyDescent="0.35">
      <c r="A166" s="2" t="s">
        <v>176</v>
      </c>
      <c r="B166" s="11">
        <v>2016</v>
      </c>
      <c r="C166" s="1">
        <v>1.2</v>
      </c>
      <c r="D166" s="1">
        <v>3.9</v>
      </c>
      <c r="E166" s="7" t="s">
        <v>186</v>
      </c>
      <c r="F166" s="7" t="s">
        <v>350</v>
      </c>
      <c r="G166" s="1" t="str">
        <f t="shared" si="4"/>
        <v>Timmy</v>
      </c>
      <c r="H166" s="1" t="str">
        <f t="shared" si="5"/>
        <v>02</v>
      </c>
    </row>
    <row r="167" spans="1:8" x14ac:dyDescent="0.35">
      <c r="A167" s="2" t="s">
        <v>177</v>
      </c>
      <c r="B167" s="11">
        <v>2016</v>
      </c>
      <c r="C167" s="1">
        <v>2.2999999999999998</v>
      </c>
      <c r="D167" s="1">
        <v>4.5999999999999996</v>
      </c>
      <c r="E167" s="7" t="s">
        <v>183</v>
      </c>
      <c r="F167" s="7" t="s">
        <v>351</v>
      </c>
      <c r="G167" s="1" t="str">
        <f t="shared" si="4"/>
        <v>Perry</v>
      </c>
      <c r="H167" s="1" t="str">
        <f t="shared" si="5"/>
        <v>24</v>
      </c>
    </row>
    <row r="168" spans="1:8" x14ac:dyDescent="0.35">
      <c r="A168" s="2" t="s">
        <v>3</v>
      </c>
      <c r="B168" s="11">
        <v>2015</v>
      </c>
      <c r="C168" s="1">
        <v>1.9</v>
      </c>
      <c r="D168" s="1">
        <v>2.6</v>
      </c>
      <c r="E168" s="7" t="s">
        <v>181</v>
      </c>
      <c r="F168" s="7" t="s">
        <v>182</v>
      </c>
      <c r="G168" s="1" t="str">
        <f t="shared" si="4"/>
        <v>Rufus</v>
      </c>
      <c r="H168" s="1" t="str">
        <f t="shared" si="5"/>
        <v>02</v>
      </c>
    </row>
    <row r="169" spans="1:8" x14ac:dyDescent="0.35">
      <c r="A169" s="2" t="s">
        <v>6</v>
      </c>
      <c r="B169" s="11">
        <v>2015</v>
      </c>
      <c r="C169" s="1">
        <v>5</v>
      </c>
      <c r="D169" s="1">
        <v>3</v>
      </c>
      <c r="E169" s="7" t="s">
        <v>183</v>
      </c>
      <c r="F169" s="7" t="s">
        <v>184</v>
      </c>
      <c r="G169" s="1" t="str">
        <f t="shared" si="4"/>
        <v>Woodrow</v>
      </c>
      <c r="H169" s="1" t="str">
        <f t="shared" si="5"/>
        <v>42</v>
      </c>
    </row>
    <row r="170" spans="1:8" x14ac:dyDescent="0.35">
      <c r="A170" s="2" t="s">
        <v>8</v>
      </c>
      <c r="B170" s="11">
        <v>2015</v>
      </c>
      <c r="C170" s="1">
        <v>1.8</v>
      </c>
      <c r="D170" s="1">
        <v>3.9</v>
      </c>
      <c r="E170" s="7" t="s">
        <v>183</v>
      </c>
      <c r="F170" s="7" t="s">
        <v>185</v>
      </c>
      <c r="G170" s="1" t="str">
        <f t="shared" si="4"/>
        <v>Leland</v>
      </c>
      <c r="H170" s="1" t="str">
        <f t="shared" si="5"/>
        <v>02</v>
      </c>
    </row>
    <row r="171" spans="1:8" x14ac:dyDescent="0.35">
      <c r="A171" s="2" t="s">
        <v>10</v>
      </c>
      <c r="B171" s="11">
        <v>2015</v>
      </c>
      <c r="C171" s="1">
        <v>4.9000000000000004</v>
      </c>
      <c r="D171" s="1">
        <v>3.9</v>
      </c>
      <c r="E171" s="7" t="s">
        <v>186</v>
      </c>
      <c r="F171" s="7" t="s">
        <v>187</v>
      </c>
      <c r="G171" s="1" t="str">
        <f t="shared" si="4"/>
        <v>Levi</v>
      </c>
      <c r="H171" s="1" t="str">
        <f t="shared" si="5"/>
        <v>42</v>
      </c>
    </row>
    <row r="172" spans="1:8" x14ac:dyDescent="0.35">
      <c r="A172" s="2" t="s">
        <v>12</v>
      </c>
      <c r="B172" s="11">
        <v>2015</v>
      </c>
      <c r="C172" s="1">
        <v>4.5999999999999996</v>
      </c>
      <c r="D172" s="1">
        <v>0.6</v>
      </c>
      <c r="E172" s="7" t="s">
        <v>186</v>
      </c>
      <c r="F172" s="7" t="s">
        <v>188</v>
      </c>
      <c r="G172" s="1" t="str">
        <f t="shared" si="4"/>
        <v>Marcos</v>
      </c>
      <c r="H172" s="1" t="str">
        <f t="shared" si="5"/>
        <v>40</v>
      </c>
    </row>
    <row r="173" spans="1:8" x14ac:dyDescent="0.35">
      <c r="A173" s="2" t="s">
        <v>14</v>
      </c>
      <c r="B173" s="11">
        <v>2015</v>
      </c>
      <c r="C173" s="1">
        <v>1.6</v>
      </c>
      <c r="D173" s="1">
        <v>2.6</v>
      </c>
      <c r="E173" s="7" t="s">
        <v>186</v>
      </c>
      <c r="F173" s="7" t="s">
        <v>189</v>
      </c>
      <c r="G173" s="1" t="str">
        <f t="shared" si="4"/>
        <v>Al</v>
      </c>
      <c r="H173" s="1" t="str">
        <f t="shared" si="5"/>
        <v>02</v>
      </c>
    </row>
    <row r="174" spans="1:8" x14ac:dyDescent="0.35">
      <c r="A174" s="2" t="s">
        <v>16</v>
      </c>
      <c r="B174" s="11">
        <v>2015</v>
      </c>
      <c r="C174" s="1">
        <v>2.5</v>
      </c>
      <c r="D174" s="1">
        <v>2.8</v>
      </c>
      <c r="E174" s="7" t="s">
        <v>186</v>
      </c>
      <c r="F174" s="7" t="s">
        <v>190</v>
      </c>
      <c r="G174" s="1" t="str">
        <f t="shared" si="4"/>
        <v>Gustavo</v>
      </c>
      <c r="H174" s="1" t="str">
        <f t="shared" si="5"/>
        <v>22</v>
      </c>
    </row>
    <row r="175" spans="1:8" x14ac:dyDescent="0.35">
      <c r="A175" s="2" t="s">
        <v>18</v>
      </c>
      <c r="B175" s="11">
        <v>2015</v>
      </c>
      <c r="C175" s="1">
        <v>2.4</v>
      </c>
      <c r="D175" s="1">
        <v>3</v>
      </c>
      <c r="E175" s="7" t="s">
        <v>186</v>
      </c>
      <c r="F175" s="7" t="s">
        <v>191</v>
      </c>
      <c r="G175" s="1" t="str">
        <f t="shared" si="4"/>
        <v>Jake</v>
      </c>
      <c r="H175" s="1" t="str">
        <f t="shared" si="5"/>
        <v>22</v>
      </c>
    </row>
    <row r="176" spans="1:8" x14ac:dyDescent="0.35">
      <c r="A176" s="2" t="s">
        <v>19</v>
      </c>
      <c r="B176" s="11">
        <v>2015</v>
      </c>
      <c r="C176" s="1">
        <v>1</v>
      </c>
      <c r="D176" s="1">
        <v>3.7</v>
      </c>
      <c r="E176" s="7" t="s">
        <v>186</v>
      </c>
      <c r="F176" s="7" t="s">
        <v>192</v>
      </c>
      <c r="G176" s="1" t="str">
        <f t="shared" si="4"/>
        <v>Lionel</v>
      </c>
      <c r="H176" s="1" t="str">
        <f t="shared" si="5"/>
        <v>02</v>
      </c>
    </row>
    <row r="177" spans="1:8" x14ac:dyDescent="0.35">
      <c r="A177" s="2" t="s">
        <v>20</v>
      </c>
      <c r="B177" s="11">
        <v>2015</v>
      </c>
      <c r="C177" s="1">
        <v>4.7</v>
      </c>
      <c r="D177" s="1">
        <v>2.2000000000000002</v>
      </c>
      <c r="E177" s="7" t="s">
        <v>186</v>
      </c>
      <c r="F177" s="7" t="s">
        <v>193</v>
      </c>
      <c r="G177" s="1" t="str">
        <f t="shared" si="4"/>
        <v>Marty</v>
      </c>
      <c r="H177" s="1" t="str">
        <f t="shared" si="5"/>
        <v>42</v>
      </c>
    </row>
    <row r="178" spans="1:8" x14ac:dyDescent="0.35">
      <c r="A178" s="2" t="s">
        <v>21</v>
      </c>
      <c r="B178" s="11">
        <v>2015</v>
      </c>
      <c r="C178" s="1">
        <v>3.4</v>
      </c>
      <c r="D178" s="1">
        <v>3.8</v>
      </c>
      <c r="E178" s="7" t="s">
        <v>186</v>
      </c>
      <c r="F178" s="7" t="s">
        <v>194</v>
      </c>
      <c r="G178" s="1" t="str">
        <f t="shared" si="4"/>
        <v>Darrel</v>
      </c>
      <c r="H178" s="1" t="str">
        <f t="shared" si="5"/>
        <v>22</v>
      </c>
    </row>
    <row r="179" spans="1:8" x14ac:dyDescent="0.35">
      <c r="A179" s="2" t="s">
        <v>22</v>
      </c>
      <c r="B179" s="11">
        <v>2015</v>
      </c>
      <c r="C179" s="1">
        <v>2.4</v>
      </c>
      <c r="D179" s="1">
        <v>3.7</v>
      </c>
      <c r="E179" s="7" t="s">
        <v>195</v>
      </c>
      <c r="F179" s="7" t="s">
        <v>196</v>
      </c>
      <c r="G179" s="1" t="str">
        <f t="shared" si="4"/>
        <v>Isaac</v>
      </c>
      <c r="H179" s="1" t="str">
        <f t="shared" si="5"/>
        <v>22</v>
      </c>
    </row>
    <row r="180" spans="1:8" x14ac:dyDescent="0.35">
      <c r="A180" s="2" t="s">
        <v>24</v>
      </c>
      <c r="B180" s="11">
        <v>2015</v>
      </c>
      <c r="C180" s="1">
        <v>3.9</v>
      </c>
      <c r="D180" s="1">
        <v>1.9</v>
      </c>
      <c r="E180" s="7" t="s">
        <v>181</v>
      </c>
      <c r="F180" s="7" t="s">
        <v>197</v>
      </c>
      <c r="G180" s="1" t="str">
        <f t="shared" si="4"/>
        <v>Cleveland</v>
      </c>
      <c r="H180" s="1" t="str">
        <f t="shared" si="5"/>
        <v>20</v>
      </c>
    </row>
    <row r="181" spans="1:8" x14ac:dyDescent="0.35">
      <c r="A181" s="2" t="s">
        <v>25</v>
      </c>
      <c r="B181" s="11">
        <v>2015</v>
      </c>
      <c r="C181" s="1">
        <v>1.5</v>
      </c>
      <c r="D181" s="1">
        <v>2.9</v>
      </c>
      <c r="E181" s="7" t="s">
        <v>186</v>
      </c>
      <c r="F181" s="7" t="s">
        <v>198</v>
      </c>
      <c r="G181" s="1" t="str">
        <f t="shared" si="4"/>
        <v>Sheldon</v>
      </c>
      <c r="H181" s="1" t="str">
        <f t="shared" si="5"/>
        <v>02</v>
      </c>
    </row>
    <row r="182" spans="1:8" x14ac:dyDescent="0.35">
      <c r="A182" s="2" t="s">
        <v>26</v>
      </c>
      <c r="B182" s="11">
        <v>2015</v>
      </c>
      <c r="C182" s="1">
        <v>3.4</v>
      </c>
      <c r="D182" s="1">
        <v>3</v>
      </c>
      <c r="E182" s="7" t="s">
        <v>186</v>
      </c>
      <c r="F182" s="7" t="s">
        <v>199</v>
      </c>
      <c r="G182" s="1" t="str">
        <f t="shared" si="4"/>
        <v>Erick</v>
      </c>
      <c r="H182" s="1" t="str">
        <f t="shared" si="5"/>
        <v>22</v>
      </c>
    </row>
    <row r="183" spans="1:8" x14ac:dyDescent="0.35">
      <c r="A183" s="2" t="s">
        <v>27</v>
      </c>
      <c r="B183" s="11">
        <v>2015</v>
      </c>
      <c r="C183" s="1">
        <v>1.6</v>
      </c>
      <c r="D183" s="1">
        <v>3.9</v>
      </c>
      <c r="E183" s="7" t="s">
        <v>181</v>
      </c>
      <c r="F183" s="7" t="s">
        <v>200</v>
      </c>
      <c r="G183" s="1" t="str">
        <f t="shared" si="4"/>
        <v>Lamont</v>
      </c>
      <c r="H183" s="1" t="str">
        <f t="shared" si="5"/>
        <v>02</v>
      </c>
    </row>
    <row r="184" spans="1:8" x14ac:dyDescent="0.35">
      <c r="A184" s="2" t="s">
        <v>28</v>
      </c>
      <c r="B184" s="11">
        <v>2015</v>
      </c>
      <c r="C184" s="1">
        <v>3.6</v>
      </c>
      <c r="D184" s="1">
        <v>2.2000000000000002</v>
      </c>
      <c r="E184" s="7" t="s">
        <v>186</v>
      </c>
      <c r="F184" s="7" t="s">
        <v>201</v>
      </c>
      <c r="G184" s="1" t="str">
        <f t="shared" si="4"/>
        <v>Doyle</v>
      </c>
      <c r="H184" s="1" t="str">
        <f t="shared" si="5"/>
        <v>22</v>
      </c>
    </row>
    <row r="185" spans="1:8" x14ac:dyDescent="0.35">
      <c r="A185" s="2" t="s">
        <v>29</v>
      </c>
      <c r="B185" s="11">
        <v>2015</v>
      </c>
      <c r="C185" s="1">
        <v>2</v>
      </c>
      <c r="D185" s="1">
        <v>3.3</v>
      </c>
      <c r="E185" s="7" t="s">
        <v>186</v>
      </c>
      <c r="F185" s="7" t="s">
        <v>202</v>
      </c>
      <c r="G185" s="1" t="str">
        <f t="shared" si="4"/>
        <v>Dexter</v>
      </c>
      <c r="H185" s="1" t="str">
        <f t="shared" si="5"/>
        <v>22</v>
      </c>
    </row>
    <row r="186" spans="1:8" x14ac:dyDescent="0.35">
      <c r="A186" s="2" t="s">
        <v>30</v>
      </c>
      <c r="B186" s="11">
        <v>2015</v>
      </c>
      <c r="C186" s="1">
        <v>1.7</v>
      </c>
      <c r="D186" s="1">
        <v>5</v>
      </c>
      <c r="E186" s="7" t="s">
        <v>186</v>
      </c>
      <c r="F186" s="7" t="s">
        <v>203</v>
      </c>
      <c r="G186" s="1" t="str">
        <f t="shared" si="4"/>
        <v>Stewart</v>
      </c>
      <c r="H186" s="1" t="str">
        <f t="shared" si="5"/>
        <v>04</v>
      </c>
    </row>
    <row r="187" spans="1:8" x14ac:dyDescent="0.35">
      <c r="A187" s="2" t="s">
        <v>31</v>
      </c>
      <c r="B187" s="11">
        <v>2015</v>
      </c>
      <c r="C187" s="1">
        <v>4.8</v>
      </c>
      <c r="D187" s="1">
        <v>3.9</v>
      </c>
      <c r="E187" s="7" t="s">
        <v>183</v>
      </c>
      <c r="F187" s="7" t="s">
        <v>204</v>
      </c>
      <c r="G187" s="1" t="str">
        <f t="shared" si="4"/>
        <v>Efrain</v>
      </c>
      <c r="H187" s="1" t="str">
        <f t="shared" si="5"/>
        <v>42</v>
      </c>
    </row>
    <row r="188" spans="1:8" x14ac:dyDescent="0.35">
      <c r="A188" s="2" t="s">
        <v>32</v>
      </c>
      <c r="B188" s="11">
        <v>2015</v>
      </c>
      <c r="C188" s="1">
        <v>4.0999999999999996</v>
      </c>
      <c r="D188" s="1">
        <v>3</v>
      </c>
      <c r="E188" s="7" t="s">
        <v>183</v>
      </c>
      <c r="F188" s="7" t="s">
        <v>205</v>
      </c>
      <c r="G188" s="1" t="str">
        <f t="shared" si="4"/>
        <v>Billie</v>
      </c>
      <c r="H188" s="1" t="str">
        <f t="shared" si="5"/>
        <v>42</v>
      </c>
    </row>
    <row r="189" spans="1:8" x14ac:dyDescent="0.35">
      <c r="A189" s="2" t="s">
        <v>33</v>
      </c>
      <c r="B189" s="11">
        <v>2015</v>
      </c>
      <c r="C189" s="1">
        <v>3</v>
      </c>
      <c r="D189" s="1">
        <v>5</v>
      </c>
      <c r="E189" s="7" t="s">
        <v>186</v>
      </c>
      <c r="F189" s="7" t="s">
        <v>206</v>
      </c>
      <c r="G189" s="1" t="str">
        <f t="shared" si="4"/>
        <v>Elias</v>
      </c>
      <c r="H189" s="1" t="str">
        <f t="shared" si="5"/>
        <v>24</v>
      </c>
    </row>
    <row r="190" spans="1:8" x14ac:dyDescent="0.35">
      <c r="A190" s="2" t="s">
        <v>34</v>
      </c>
      <c r="B190" s="11">
        <v>2015</v>
      </c>
      <c r="C190" s="1">
        <v>4.7</v>
      </c>
      <c r="D190" s="1">
        <v>2.6</v>
      </c>
      <c r="E190" s="7" t="s">
        <v>186</v>
      </c>
      <c r="F190" s="7" t="s">
        <v>207</v>
      </c>
      <c r="G190" s="1" t="str">
        <f t="shared" si="4"/>
        <v>Elbert</v>
      </c>
      <c r="H190" s="1" t="str">
        <f t="shared" si="5"/>
        <v>42</v>
      </c>
    </row>
    <row r="191" spans="1:8" x14ac:dyDescent="0.35">
      <c r="A191" s="2" t="s">
        <v>35</v>
      </c>
      <c r="B191" s="11">
        <v>2015</v>
      </c>
      <c r="C191" s="1">
        <v>1</v>
      </c>
      <c r="D191" s="1">
        <v>3.2</v>
      </c>
      <c r="E191" s="7" t="s">
        <v>186</v>
      </c>
      <c r="F191" s="7" t="s">
        <v>208</v>
      </c>
      <c r="G191" s="1" t="str">
        <f t="shared" si="4"/>
        <v>Noah</v>
      </c>
      <c r="H191" s="1" t="str">
        <f t="shared" si="5"/>
        <v>02</v>
      </c>
    </row>
    <row r="192" spans="1:8" x14ac:dyDescent="0.35">
      <c r="A192" s="2" t="s">
        <v>36</v>
      </c>
      <c r="B192" s="11">
        <v>2015</v>
      </c>
      <c r="C192" s="1">
        <v>1.2</v>
      </c>
      <c r="D192" s="1">
        <v>3.9</v>
      </c>
      <c r="E192" s="7" t="s">
        <v>195</v>
      </c>
      <c r="F192" s="7" t="s">
        <v>209</v>
      </c>
      <c r="G192" s="1" t="str">
        <f t="shared" si="4"/>
        <v>Clay</v>
      </c>
      <c r="H192" s="1" t="str">
        <f t="shared" si="5"/>
        <v>02</v>
      </c>
    </row>
    <row r="193" spans="1:8" x14ac:dyDescent="0.35">
      <c r="A193" s="2" t="s">
        <v>37</v>
      </c>
      <c r="B193" s="11">
        <v>2015</v>
      </c>
      <c r="C193" s="1">
        <v>0.2</v>
      </c>
      <c r="D193" s="1">
        <v>2.9</v>
      </c>
      <c r="E193" s="7" t="s">
        <v>183</v>
      </c>
      <c r="F193" s="7" t="s">
        <v>210</v>
      </c>
      <c r="G193" s="1" t="str">
        <f t="shared" si="4"/>
        <v>Garland</v>
      </c>
      <c r="H193" s="1" t="str">
        <f t="shared" si="5"/>
        <v>02</v>
      </c>
    </row>
    <row r="194" spans="1:8" x14ac:dyDescent="0.35">
      <c r="A194" s="2" t="s">
        <v>38</v>
      </c>
      <c r="B194" s="11">
        <v>2015</v>
      </c>
      <c r="C194" s="1">
        <v>4.9000000000000004</v>
      </c>
      <c r="D194" s="1">
        <v>2.8</v>
      </c>
      <c r="E194" s="7" t="s">
        <v>183</v>
      </c>
      <c r="F194" s="7" t="s">
        <v>211</v>
      </c>
      <c r="G194" s="1" t="str">
        <f t="shared" ref="G194:G257" si="6">LEFT(F194,FIND(" ",F194)-1)</f>
        <v>Miles</v>
      </c>
      <c r="H194" s="1" t="str">
        <f t="shared" ref="H194:H257" si="7">FLOOR(C194,2)&amp;FLOOR(D194,2)</f>
        <v>42</v>
      </c>
    </row>
    <row r="195" spans="1:8" x14ac:dyDescent="0.35">
      <c r="A195" s="2" t="s">
        <v>39</v>
      </c>
      <c r="B195" s="11">
        <v>2015</v>
      </c>
      <c r="C195" s="1">
        <v>4.5</v>
      </c>
      <c r="D195" s="1">
        <v>2.8</v>
      </c>
      <c r="E195" s="7" t="s">
        <v>183</v>
      </c>
      <c r="F195" s="7" t="s">
        <v>212</v>
      </c>
      <c r="G195" s="1" t="str">
        <f t="shared" si="6"/>
        <v>Micah</v>
      </c>
      <c r="H195" s="1" t="str">
        <f t="shared" si="7"/>
        <v>42</v>
      </c>
    </row>
    <row r="196" spans="1:8" x14ac:dyDescent="0.35">
      <c r="A196" s="2" t="s">
        <v>40</v>
      </c>
      <c r="B196" s="11">
        <v>2015</v>
      </c>
      <c r="C196" s="1">
        <v>1.8</v>
      </c>
      <c r="D196" s="1">
        <v>2.8</v>
      </c>
      <c r="E196" s="7" t="s">
        <v>195</v>
      </c>
      <c r="F196" s="7" t="s">
        <v>213</v>
      </c>
      <c r="G196" s="1" t="str">
        <f t="shared" si="6"/>
        <v>Lamar</v>
      </c>
      <c r="H196" s="1" t="str">
        <f t="shared" si="7"/>
        <v>02</v>
      </c>
    </row>
    <row r="197" spans="1:8" x14ac:dyDescent="0.35">
      <c r="A197" s="2" t="s">
        <v>41</v>
      </c>
      <c r="B197" s="11">
        <v>2015</v>
      </c>
      <c r="C197" s="1">
        <v>3</v>
      </c>
      <c r="D197" s="1">
        <v>3.1</v>
      </c>
      <c r="E197" s="7" t="s">
        <v>195</v>
      </c>
      <c r="F197" s="7" t="s">
        <v>214</v>
      </c>
      <c r="G197" s="1" t="str">
        <f t="shared" si="6"/>
        <v>Rolando</v>
      </c>
      <c r="H197" s="1" t="str">
        <f t="shared" si="7"/>
        <v>22</v>
      </c>
    </row>
    <row r="198" spans="1:8" x14ac:dyDescent="0.35">
      <c r="A198" s="2" t="s">
        <v>42</v>
      </c>
      <c r="B198" s="11">
        <v>2015</v>
      </c>
      <c r="C198" s="1">
        <v>3.8</v>
      </c>
      <c r="D198" s="1">
        <v>3.8</v>
      </c>
      <c r="E198" s="7" t="s">
        <v>181</v>
      </c>
      <c r="F198" s="7" t="s">
        <v>215</v>
      </c>
      <c r="G198" s="1" t="str">
        <f t="shared" si="6"/>
        <v>Louie</v>
      </c>
      <c r="H198" s="1" t="str">
        <f t="shared" si="7"/>
        <v>22</v>
      </c>
    </row>
    <row r="199" spans="1:8" x14ac:dyDescent="0.35">
      <c r="A199" s="2" t="s">
        <v>43</v>
      </c>
      <c r="B199" s="11">
        <v>2015</v>
      </c>
      <c r="C199" s="1">
        <v>0.2</v>
      </c>
      <c r="D199" s="1">
        <v>3.6</v>
      </c>
      <c r="E199" s="7" t="s">
        <v>186</v>
      </c>
      <c r="F199" s="7" t="s">
        <v>216</v>
      </c>
      <c r="G199" s="1" t="str">
        <f t="shared" si="6"/>
        <v>Merle</v>
      </c>
      <c r="H199" s="1" t="str">
        <f t="shared" si="7"/>
        <v>02</v>
      </c>
    </row>
    <row r="200" spans="1:8" x14ac:dyDescent="0.35">
      <c r="A200" s="2" t="s">
        <v>44</v>
      </c>
      <c r="B200" s="11">
        <v>2015</v>
      </c>
      <c r="C200" s="1">
        <v>0.9</v>
      </c>
      <c r="D200" s="1">
        <v>3.7</v>
      </c>
      <c r="E200" s="7" t="s">
        <v>195</v>
      </c>
      <c r="F200" s="7" t="s">
        <v>217</v>
      </c>
      <c r="G200" s="1" t="str">
        <f t="shared" si="6"/>
        <v>Logan</v>
      </c>
      <c r="H200" s="1" t="str">
        <f t="shared" si="7"/>
        <v>02</v>
      </c>
    </row>
    <row r="201" spans="1:8" x14ac:dyDescent="0.35">
      <c r="A201" s="2" t="s">
        <v>45</v>
      </c>
      <c r="B201" s="11">
        <v>2015</v>
      </c>
      <c r="C201" s="1">
        <v>0.2</v>
      </c>
      <c r="D201" s="1">
        <v>3</v>
      </c>
      <c r="E201" s="7" t="s">
        <v>195</v>
      </c>
      <c r="F201" s="7" t="s">
        <v>218</v>
      </c>
      <c r="G201" s="1" t="str">
        <f t="shared" si="6"/>
        <v>Bradford</v>
      </c>
      <c r="H201" s="1" t="str">
        <f t="shared" si="7"/>
        <v>02</v>
      </c>
    </row>
    <row r="202" spans="1:8" x14ac:dyDescent="0.35">
      <c r="A202" s="2" t="s">
        <v>46</v>
      </c>
      <c r="B202" s="11">
        <v>2015</v>
      </c>
      <c r="C202" s="1">
        <v>4.0999999999999996</v>
      </c>
      <c r="D202" s="1">
        <v>3.2</v>
      </c>
      <c r="E202" s="7" t="s">
        <v>181</v>
      </c>
      <c r="F202" s="7" t="s">
        <v>219</v>
      </c>
      <c r="G202" s="1" t="str">
        <f t="shared" si="6"/>
        <v>Vicente</v>
      </c>
      <c r="H202" s="1" t="str">
        <f t="shared" si="7"/>
        <v>42</v>
      </c>
    </row>
    <row r="203" spans="1:8" x14ac:dyDescent="0.35">
      <c r="A203" s="2" t="s">
        <v>47</v>
      </c>
      <c r="B203" s="11">
        <v>2015</v>
      </c>
      <c r="C203" s="1">
        <v>2.2000000000000002</v>
      </c>
      <c r="D203" s="1">
        <v>3.4</v>
      </c>
      <c r="E203" s="7" t="s">
        <v>183</v>
      </c>
      <c r="F203" s="7" t="s">
        <v>220</v>
      </c>
      <c r="G203" s="1" t="str">
        <f t="shared" si="6"/>
        <v>Grady</v>
      </c>
      <c r="H203" s="1" t="str">
        <f t="shared" si="7"/>
        <v>22</v>
      </c>
    </row>
    <row r="204" spans="1:8" x14ac:dyDescent="0.35">
      <c r="A204" s="2" t="s">
        <v>48</v>
      </c>
      <c r="B204" s="11">
        <v>2015</v>
      </c>
      <c r="C204" s="1">
        <v>1.8</v>
      </c>
      <c r="D204" s="1">
        <v>2.2999999999999998</v>
      </c>
      <c r="E204" s="7" t="s">
        <v>183</v>
      </c>
      <c r="F204" s="7" t="s">
        <v>221</v>
      </c>
      <c r="G204" s="1" t="str">
        <f t="shared" si="6"/>
        <v>Otto</v>
      </c>
      <c r="H204" s="1" t="str">
        <f t="shared" si="7"/>
        <v>02</v>
      </c>
    </row>
    <row r="205" spans="1:8" x14ac:dyDescent="0.35">
      <c r="A205" s="2" t="s">
        <v>49</v>
      </c>
      <c r="B205" s="11">
        <v>2015</v>
      </c>
      <c r="C205" s="1">
        <v>1.5</v>
      </c>
      <c r="D205" s="1">
        <v>3.3</v>
      </c>
      <c r="E205" s="7" t="s">
        <v>183</v>
      </c>
      <c r="F205" s="7" t="s">
        <v>222</v>
      </c>
      <c r="G205" s="1" t="str">
        <f t="shared" si="6"/>
        <v>Carroll</v>
      </c>
      <c r="H205" s="1" t="str">
        <f t="shared" si="7"/>
        <v>02</v>
      </c>
    </row>
    <row r="206" spans="1:8" x14ac:dyDescent="0.35">
      <c r="A206" s="2" t="s">
        <v>50</v>
      </c>
      <c r="B206" s="11">
        <v>2015</v>
      </c>
      <c r="C206" s="1">
        <v>3.3</v>
      </c>
      <c r="D206" s="1">
        <v>3.5</v>
      </c>
      <c r="E206" s="7" t="s">
        <v>195</v>
      </c>
      <c r="F206" s="7" t="s">
        <v>223</v>
      </c>
      <c r="G206" s="1" t="str">
        <f t="shared" si="6"/>
        <v>Terrell</v>
      </c>
      <c r="H206" s="1" t="str">
        <f t="shared" si="7"/>
        <v>22</v>
      </c>
    </row>
    <row r="207" spans="1:8" x14ac:dyDescent="0.35">
      <c r="A207" s="2" t="s">
        <v>51</v>
      </c>
      <c r="B207" s="11">
        <v>2015</v>
      </c>
      <c r="C207" s="1">
        <v>0.8</v>
      </c>
      <c r="D207" s="1">
        <v>3.9</v>
      </c>
      <c r="E207" s="7" t="s">
        <v>195</v>
      </c>
      <c r="F207" s="7" t="s">
        <v>224</v>
      </c>
      <c r="G207" s="1" t="str">
        <f t="shared" si="6"/>
        <v>Moses</v>
      </c>
      <c r="H207" s="1" t="str">
        <f t="shared" si="7"/>
        <v>02</v>
      </c>
    </row>
    <row r="208" spans="1:8" x14ac:dyDescent="0.35">
      <c r="A208" s="2" t="s">
        <v>52</v>
      </c>
      <c r="B208" s="11">
        <v>2015</v>
      </c>
      <c r="C208" s="1">
        <v>4.7</v>
      </c>
      <c r="D208" s="1">
        <v>2.5</v>
      </c>
      <c r="E208" s="7" t="s">
        <v>195</v>
      </c>
      <c r="F208" s="7" t="s">
        <v>225</v>
      </c>
      <c r="G208" s="1" t="str">
        <f t="shared" si="6"/>
        <v>Irvin</v>
      </c>
      <c r="H208" s="1" t="str">
        <f t="shared" si="7"/>
        <v>42</v>
      </c>
    </row>
    <row r="209" spans="1:8" x14ac:dyDescent="0.35">
      <c r="A209" s="2" t="s">
        <v>53</v>
      </c>
      <c r="B209" s="11">
        <v>2015</v>
      </c>
      <c r="C209" s="1">
        <v>1.3</v>
      </c>
      <c r="D209" s="1">
        <v>2</v>
      </c>
      <c r="E209" s="7" t="s">
        <v>181</v>
      </c>
      <c r="F209" s="7" t="s">
        <v>226</v>
      </c>
      <c r="G209" s="1" t="str">
        <f t="shared" si="6"/>
        <v>Stephan</v>
      </c>
      <c r="H209" s="1" t="str">
        <f t="shared" si="7"/>
        <v>02</v>
      </c>
    </row>
    <row r="210" spans="1:8" x14ac:dyDescent="0.35">
      <c r="A210" s="2" t="s">
        <v>54</v>
      </c>
      <c r="B210" s="11">
        <v>2015</v>
      </c>
      <c r="C210" s="1">
        <v>1.1000000000000001</v>
      </c>
      <c r="D210" s="1">
        <v>3.5</v>
      </c>
      <c r="E210" s="7" t="s">
        <v>227</v>
      </c>
      <c r="F210" s="7" t="s">
        <v>228</v>
      </c>
      <c r="G210" s="1" t="str">
        <f t="shared" si="6"/>
        <v>Rocky</v>
      </c>
      <c r="H210" s="1" t="str">
        <f t="shared" si="7"/>
        <v>02</v>
      </c>
    </row>
    <row r="211" spans="1:8" x14ac:dyDescent="0.35">
      <c r="A211" s="2" t="s">
        <v>55</v>
      </c>
      <c r="B211" s="11">
        <v>2015</v>
      </c>
      <c r="C211" s="1">
        <v>3.4</v>
      </c>
      <c r="D211" s="1">
        <v>3.3</v>
      </c>
      <c r="E211" s="7" t="s">
        <v>183</v>
      </c>
      <c r="F211" s="7" t="s">
        <v>229</v>
      </c>
      <c r="G211" s="1" t="str">
        <f t="shared" si="6"/>
        <v>Cornelius</v>
      </c>
      <c r="H211" s="1" t="str">
        <f t="shared" si="7"/>
        <v>22</v>
      </c>
    </row>
    <row r="212" spans="1:8" x14ac:dyDescent="0.35">
      <c r="A212" s="2" t="s">
        <v>56</v>
      </c>
      <c r="B212" s="11">
        <v>2015</v>
      </c>
      <c r="C212" s="1">
        <v>5</v>
      </c>
      <c r="D212" s="1">
        <v>3</v>
      </c>
      <c r="E212" s="7" t="s">
        <v>183</v>
      </c>
      <c r="F212" s="7" t="s">
        <v>230</v>
      </c>
      <c r="G212" s="1" t="str">
        <f t="shared" si="6"/>
        <v>Dewayne</v>
      </c>
      <c r="H212" s="1" t="str">
        <f t="shared" si="7"/>
        <v>42</v>
      </c>
    </row>
    <row r="213" spans="1:8" x14ac:dyDescent="0.35">
      <c r="A213" s="2" t="s">
        <v>57</v>
      </c>
      <c r="B213" s="11">
        <v>2015</v>
      </c>
      <c r="C213" s="1">
        <v>2.6</v>
      </c>
      <c r="D213" s="1">
        <v>2.6</v>
      </c>
      <c r="E213" s="7" t="s">
        <v>183</v>
      </c>
      <c r="F213" s="7" t="s">
        <v>231</v>
      </c>
      <c r="G213" s="1" t="str">
        <f t="shared" si="6"/>
        <v>Phil</v>
      </c>
      <c r="H213" s="1" t="str">
        <f t="shared" si="7"/>
        <v>22</v>
      </c>
    </row>
    <row r="214" spans="1:8" x14ac:dyDescent="0.35">
      <c r="A214" s="2" t="s">
        <v>58</v>
      </c>
      <c r="B214" s="11">
        <v>2015</v>
      </c>
      <c r="C214" s="1">
        <v>2.5</v>
      </c>
      <c r="D214" s="1">
        <v>5</v>
      </c>
      <c r="E214" s="7" t="s">
        <v>195</v>
      </c>
      <c r="F214" s="7" t="s">
        <v>232</v>
      </c>
      <c r="G214" s="1" t="str">
        <f t="shared" si="6"/>
        <v>Abel</v>
      </c>
      <c r="H214" s="1" t="str">
        <f t="shared" si="7"/>
        <v>24</v>
      </c>
    </row>
    <row r="215" spans="1:8" x14ac:dyDescent="0.35">
      <c r="A215" s="2" t="s">
        <v>59</v>
      </c>
      <c r="B215" s="11">
        <v>2015</v>
      </c>
      <c r="C215" s="1">
        <v>0.5</v>
      </c>
      <c r="D215" s="1">
        <v>3.4</v>
      </c>
      <c r="E215" s="7" t="s">
        <v>183</v>
      </c>
      <c r="F215" s="7" t="s">
        <v>233</v>
      </c>
      <c r="G215" s="1" t="str">
        <f t="shared" si="6"/>
        <v>Julian</v>
      </c>
      <c r="H215" s="1" t="str">
        <f t="shared" si="7"/>
        <v>02</v>
      </c>
    </row>
    <row r="216" spans="1:8" x14ac:dyDescent="0.35">
      <c r="A216" s="2" t="s">
        <v>60</v>
      </c>
      <c r="B216" s="11">
        <v>2015</v>
      </c>
      <c r="C216" s="1">
        <v>0.1</v>
      </c>
      <c r="D216" s="1">
        <v>2.9</v>
      </c>
      <c r="E216" s="7" t="s">
        <v>195</v>
      </c>
      <c r="F216" s="7" t="s">
        <v>234</v>
      </c>
      <c r="G216" s="1" t="str">
        <f t="shared" si="6"/>
        <v>Virgil</v>
      </c>
      <c r="H216" s="1" t="str">
        <f t="shared" si="7"/>
        <v>02</v>
      </c>
    </row>
    <row r="217" spans="1:8" x14ac:dyDescent="0.35">
      <c r="A217" s="2" t="s">
        <v>61</v>
      </c>
      <c r="B217" s="11">
        <v>2015</v>
      </c>
      <c r="C217" s="1">
        <v>3.1</v>
      </c>
      <c r="D217" s="1">
        <v>3.4</v>
      </c>
      <c r="E217" s="7" t="s">
        <v>195</v>
      </c>
      <c r="F217" s="7" t="s">
        <v>235</v>
      </c>
      <c r="G217" s="1" t="str">
        <f t="shared" si="6"/>
        <v>Winston</v>
      </c>
      <c r="H217" s="1" t="str">
        <f t="shared" si="7"/>
        <v>22</v>
      </c>
    </row>
    <row r="218" spans="1:8" x14ac:dyDescent="0.35">
      <c r="A218" s="2" t="s">
        <v>62</v>
      </c>
      <c r="B218" s="11">
        <v>2015</v>
      </c>
      <c r="C218" s="1">
        <v>2.2000000000000002</v>
      </c>
      <c r="D218" s="1">
        <v>3.1</v>
      </c>
      <c r="E218" s="7" t="s">
        <v>195</v>
      </c>
      <c r="F218" s="7" t="s">
        <v>236</v>
      </c>
      <c r="G218" s="1" t="str">
        <f t="shared" si="6"/>
        <v>Aubrey</v>
      </c>
      <c r="H218" s="1" t="str">
        <f t="shared" si="7"/>
        <v>22</v>
      </c>
    </row>
    <row r="219" spans="1:8" x14ac:dyDescent="0.35">
      <c r="A219" s="2" t="s">
        <v>63</v>
      </c>
      <c r="B219" s="11">
        <v>2015</v>
      </c>
      <c r="C219" s="1">
        <v>1.4</v>
      </c>
      <c r="D219" s="1">
        <v>2.1</v>
      </c>
      <c r="E219" s="7" t="s">
        <v>195</v>
      </c>
      <c r="F219" s="7" t="s">
        <v>237</v>
      </c>
      <c r="G219" s="1" t="str">
        <f t="shared" si="6"/>
        <v>Boyd</v>
      </c>
      <c r="H219" s="1" t="str">
        <f t="shared" si="7"/>
        <v>02</v>
      </c>
    </row>
    <row r="220" spans="1:8" x14ac:dyDescent="0.35">
      <c r="A220" s="2" t="s">
        <v>64</v>
      </c>
      <c r="B220" s="11">
        <v>2015</v>
      </c>
      <c r="C220" s="1">
        <v>0.4</v>
      </c>
      <c r="D220" s="1">
        <v>2.5</v>
      </c>
      <c r="E220" s="7" t="s">
        <v>227</v>
      </c>
      <c r="F220" s="7" t="s">
        <v>238</v>
      </c>
      <c r="G220" s="1" t="str">
        <f t="shared" si="6"/>
        <v>Freddy</v>
      </c>
      <c r="H220" s="1" t="str">
        <f t="shared" si="7"/>
        <v>02</v>
      </c>
    </row>
    <row r="221" spans="1:8" x14ac:dyDescent="0.35">
      <c r="A221" s="2" t="s">
        <v>65</v>
      </c>
      <c r="B221" s="11">
        <v>2015</v>
      </c>
      <c r="C221" s="1">
        <v>4.2</v>
      </c>
      <c r="D221" s="1">
        <v>2.7</v>
      </c>
      <c r="E221" s="7" t="s">
        <v>195</v>
      </c>
      <c r="F221" s="7" t="s">
        <v>239</v>
      </c>
      <c r="G221" s="1" t="str">
        <f t="shared" si="6"/>
        <v>Andy</v>
      </c>
      <c r="H221" s="1" t="str">
        <f t="shared" si="7"/>
        <v>42</v>
      </c>
    </row>
    <row r="222" spans="1:8" x14ac:dyDescent="0.35">
      <c r="A222" s="2" t="s">
        <v>66</v>
      </c>
      <c r="B222" s="11">
        <v>2015</v>
      </c>
      <c r="C222" s="1">
        <v>0.6</v>
      </c>
      <c r="D222" s="1">
        <v>3.2</v>
      </c>
      <c r="E222" s="7" t="s">
        <v>195</v>
      </c>
      <c r="F222" s="7" t="s">
        <v>240</v>
      </c>
      <c r="G222" s="1" t="str">
        <f t="shared" si="6"/>
        <v>Ross</v>
      </c>
      <c r="H222" s="1" t="str">
        <f t="shared" si="7"/>
        <v>02</v>
      </c>
    </row>
    <row r="223" spans="1:8" x14ac:dyDescent="0.35">
      <c r="A223" s="2" t="s">
        <v>67</v>
      </c>
      <c r="B223" s="11">
        <v>2015</v>
      </c>
      <c r="C223" s="1">
        <v>3</v>
      </c>
      <c r="D223" s="1">
        <v>1.6</v>
      </c>
      <c r="E223" s="7" t="s">
        <v>195</v>
      </c>
      <c r="F223" s="7" t="s">
        <v>241</v>
      </c>
      <c r="G223" s="1" t="str">
        <f t="shared" si="6"/>
        <v>Emilio</v>
      </c>
      <c r="H223" s="1" t="str">
        <f t="shared" si="7"/>
        <v>20</v>
      </c>
    </row>
    <row r="224" spans="1:8" x14ac:dyDescent="0.35">
      <c r="A224" s="2" t="s">
        <v>68</v>
      </c>
      <c r="B224" s="11">
        <v>2015</v>
      </c>
      <c r="C224" s="1">
        <v>4.4000000000000004</v>
      </c>
      <c r="D224" s="1">
        <v>2.2000000000000002</v>
      </c>
      <c r="E224" s="7" t="s">
        <v>195</v>
      </c>
      <c r="F224" s="7" t="s">
        <v>242</v>
      </c>
      <c r="G224" s="1" t="str">
        <f t="shared" si="6"/>
        <v>Tommie</v>
      </c>
      <c r="H224" s="1" t="str">
        <f t="shared" si="7"/>
        <v>42</v>
      </c>
    </row>
    <row r="225" spans="1:8" x14ac:dyDescent="0.35">
      <c r="A225" s="2" t="s">
        <v>69</v>
      </c>
      <c r="B225" s="11">
        <v>2015</v>
      </c>
      <c r="C225" s="1">
        <v>1.3</v>
      </c>
      <c r="D225" s="1">
        <v>2.2000000000000002</v>
      </c>
      <c r="E225" s="7" t="s">
        <v>195</v>
      </c>
      <c r="F225" s="7" t="s">
        <v>243</v>
      </c>
      <c r="G225" s="1" t="str">
        <f t="shared" si="6"/>
        <v>Elijah</v>
      </c>
      <c r="H225" s="1" t="str">
        <f t="shared" si="7"/>
        <v>02</v>
      </c>
    </row>
    <row r="226" spans="1:8" x14ac:dyDescent="0.35">
      <c r="A226" s="2" t="s">
        <v>70</v>
      </c>
      <c r="B226" s="11">
        <v>2015</v>
      </c>
      <c r="C226" s="1">
        <v>2.2999999999999998</v>
      </c>
      <c r="D226" s="1">
        <v>3.7</v>
      </c>
      <c r="E226" s="7" t="s">
        <v>195</v>
      </c>
      <c r="F226" s="7" t="s">
        <v>244</v>
      </c>
      <c r="G226" s="1" t="str">
        <f t="shared" si="6"/>
        <v>Darrin</v>
      </c>
      <c r="H226" s="1" t="str">
        <f t="shared" si="7"/>
        <v>22</v>
      </c>
    </row>
    <row r="227" spans="1:8" x14ac:dyDescent="0.35">
      <c r="A227" s="2" t="s">
        <v>71</v>
      </c>
      <c r="B227" s="11">
        <v>2015</v>
      </c>
      <c r="C227" s="1">
        <v>1.5</v>
      </c>
      <c r="D227" s="1">
        <v>3.1</v>
      </c>
      <c r="E227" s="7" t="s">
        <v>181</v>
      </c>
      <c r="F227" s="7" t="s">
        <v>245</v>
      </c>
      <c r="G227" s="1" t="str">
        <f t="shared" si="6"/>
        <v>Humberto</v>
      </c>
      <c r="H227" s="1" t="str">
        <f t="shared" si="7"/>
        <v>02</v>
      </c>
    </row>
    <row r="228" spans="1:8" x14ac:dyDescent="0.35">
      <c r="A228" s="2" t="s">
        <v>72</v>
      </c>
      <c r="B228" s="11">
        <v>2015</v>
      </c>
      <c r="C228" s="1">
        <v>3.1</v>
      </c>
      <c r="D228" s="1">
        <v>3.4</v>
      </c>
      <c r="E228" s="7" t="s">
        <v>195</v>
      </c>
      <c r="F228" s="7" t="s">
        <v>246</v>
      </c>
      <c r="G228" s="1" t="str">
        <f t="shared" si="6"/>
        <v>Roman</v>
      </c>
      <c r="H228" s="1" t="str">
        <f t="shared" si="7"/>
        <v>22</v>
      </c>
    </row>
    <row r="229" spans="1:8" x14ac:dyDescent="0.35">
      <c r="A229" s="2" t="s">
        <v>73</v>
      </c>
      <c r="B229" s="11">
        <v>2015</v>
      </c>
      <c r="C229" s="1">
        <v>4.7</v>
      </c>
      <c r="D229" s="1">
        <v>3.1</v>
      </c>
      <c r="E229" s="7" t="s">
        <v>183</v>
      </c>
      <c r="F229" s="7" t="s">
        <v>247</v>
      </c>
      <c r="G229" s="1" t="str">
        <f t="shared" si="6"/>
        <v>Rodger</v>
      </c>
      <c r="H229" s="1" t="str">
        <f t="shared" si="7"/>
        <v>42</v>
      </c>
    </row>
    <row r="230" spans="1:8" x14ac:dyDescent="0.35">
      <c r="A230" s="2" t="s">
        <v>74</v>
      </c>
      <c r="B230" s="11">
        <v>2015</v>
      </c>
      <c r="C230" s="1">
        <v>2.1</v>
      </c>
      <c r="D230" s="1">
        <v>2.8</v>
      </c>
      <c r="E230" s="7" t="s">
        <v>181</v>
      </c>
      <c r="F230" s="7" t="s">
        <v>248</v>
      </c>
      <c r="G230" s="1" t="str">
        <f t="shared" si="6"/>
        <v>Clark</v>
      </c>
      <c r="H230" s="1" t="str">
        <f t="shared" si="7"/>
        <v>22</v>
      </c>
    </row>
    <row r="231" spans="1:8" x14ac:dyDescent="0.35">
      <c r="A231" s="2" t="s">
        <v>75</v>
      </c>
      <c r="B231" s="11">
        <v>2015</v>
      </c>
      <c r="C231" s="1">
        <v>0.5</v>
      </c>
      <c r="D231" s="1">
        <v>3.2</v>
      </c>
      <c r="E231" s="7" t="s">
        <v>195</v>
      </c>
      <c r="F231" s="7" t="s">
        <v>249</v>
      </c>
      <c r="G231" s="1" t="str">
        <f t="shared" si="6"/>
        <v>Darnell</v>
      </c>
      <c r="H231" s="1" t="str">
        <f t="shared" si="7"/>
        <v>02</v>
      </c>
    </row>
    <row r="232" spans="1:8" x14ac:dyDescent="0.35">
      <c r="A232" s="2" t="s">
        <v>76</v>
      </c>
      <c r="B232" s="11">
        <v>2015</v>
      </c>
      <c r="C232" s="1">
        <v>3.8</v>
      </c>
      <c r="D232" s="1">
        <v>2.2999999999999998</v>
      </c>
      <c r="E232" s="7" t="s">
        <v>183</v>
      </c>
      <c r="F232" s="7" t="s">
        <v>250</v>
      </c>
      <c r="G232" s="1" t="str">
        <f t="shared" si="6"/>
        <v>Ethan</v>
      </c>
      <c r="H232" s="1" t="str">
        <f t="shared" si="7"/>
        <v>22</v>
      </c>
    </row>
    <row r="233" spans="1:8" x14ac:dyDescent="0.35">
      <c r="A233" s="2" t="s">
        <v>77</v>
      </c>
      <c r="B233" s="11">
        <v>2015</v>
      </c>
      <c r="C233" s="1">
        <v>0.1</v>
      </c>
      <c r="D233" s="1">
        <v>3.2</v>
      </c>
      <c r="E233" s="7" t="s">
        <v>183</v>
      </c>
      <c r="F233" s="7" t="s">
        <v>251</v>
      </c>
      <c r="G233" s="1" t="str">
        <f t="shared" si="6"/>
        <v>Byron</v>
      </c>
      <c r="H233" s="1" t="str">
        <f t="shared" si="7"/>
        <v>02</v>
      </c>
    </row>
    <row r="234" spans="1:8" x14ac:dyDescent="0.35">
      <c r="A234" s="2" t="s">
        <v>78</v>
      </c>
      <c r="B234" s="11">
        <v>2015</v>
      </c>
      <c r="C234" s="1">
        <v>4.5999999999999996</v>
      </c>
      <c r="D234" s="1">
        <v>2.4</v>
      </c>
      <c r="E234" s="7" t="s">
        <v>183</v>
      </c>
      <c r="F234" s="7" t="s">
        <v>252</v>
      </c>
      <c r="G234" s="1" t="str">
        <f t="shared" si="6"/>
        <v>Loretta</v>
      </c>
      <c r="H234" s="1" t="str">
        <f t="shared" si="7"/>
        <v>42</v>
      </c>
    </row>
    <row r="235" spans="1:8" x14ac:dyDescent="0.35">
      <c r="A235" s="2" t="s">
        <v>79</v>
      </c>
      <c r="B235" s="11">
        <v>2015</v>
      </c>
      <c r="C235" s="1">
        <v>1.8</v>
      </c>
      <c r="D235" s="1">
        <v>1.6</v>
      </c>
      <c r="E235" s="7" t="s">
        <v>195</v>
      </c>
      <c r="F235" s="7" t="s">
        <v>253</v>
      </c>
      <c r="G235" s="1" t="str">
        <f t="shared" si="6"/>
        <v>Victoria</v>
      </c>
      <c r="H235" s="1" t="str">
        <f t="shared" si="7"/>
        <v>00</v>
      </c>
    </row>
    <row r="236" spans="1:8" x14ac:dyDescent="0.35">
      <c r="A236" s="2" t="s">
        <v>80</v>
      </c>
      <c r="B236" s="11">
        <v>2015</v>
      </c>
      <c r="C236" s="1">
        <v>1.7</v>
      </c>
      <c r="D236" s="1">
        <v>2</v>
      </c>
      <c r="E236" s="7" t="s">
        <v>183</v>
      </c>
      <c r="F236" s="7" t="s">
        <v>254</v>
      </c>
      <c r="G236" s="1" t="str">
        <f t="shared" si="6"/>
        <v>Katie</v>
      </c>
      <c r="H236" s="1" t="str">
        <f t="shared" si="7"/>
        <v>02</v>
      </c>
    </row>
    <row r="237" spans="1:8" x14ac:dyDescent="0.35">
      <c r="A237" s="2" t="s">
        <v>81</v>
      </c>
      <c r="B237" s="11">
        <v>2015</v>
      </c>
      <c r="C237" s="1">
        <v>0.3</v>
      </c>
      <c r="D237" s="1">
        <v>3.6</v>
      </c>
      <c r="E237" s="7" t="s">
        <v>183</v>
      </c>
      <c r="F237" s="7" t="s">
        <v>255</v>
      </c>
      <c r="G237" s="1" t="str">
        <f t="shared" si="6"/>
        <v>Josephine</v>
      </c>
      <c r="H237" s="1" t="str">
        <f t="shared" si="7"/>
        <v>02</v>
      </c>
    </row>
    <row r="238" spans="1:8" x14ac:dyDescent="0.35">
      <c r="A238" s="2" t="s">
        <v>82</v>
      </c>
      <c r="B238" s="11">
        <v>2015</v>
      </c>
      <c r="C238" s="1">
        <v>2.1</v>
      </c>
      <c r="D238" s="1">
        <v>2</v>
      </c>
      <c r="E238" s="7" t="s">
        <v>183</v>
      </c>
      <c r="F238" s="7" t="s">
        <v>256</v>
      </c>
      <c r="G238" s="1" t="str">
        <f t="shared" si="6"/>
        <v>Thelma</v>
      </c>
      <c r="H238" s="1" t="str">
        <f t="shared" si="7"/>
        <v>22</v>
      </c>
    </row>
    <row r="239" spans="1:8" x14ac:dyDescent="0.35">
      <c r="A239" s="2" t="s">
        <v>83</v>
      </c>
      <c r="B239" s="11">
        <v>2015</v>
      </c>
      <c r="C239" s="1">
        <v>2.9</v>
      </c>
      <c r="D239" s="1">
        <v>1</v>
      </c>
      <c r="E239" s="7" t="s">
        <v>186</v>
      </c>
      <c r="F239" s="7" t="s">
        <v>257</v>
      </c>
      <c r="G239" s="1" t="str">
        <f t="shared" si="6"/>
        <v>Wilfred</v>
      </c>
      <c r="H239" s="1" t="str">
        <f t="shared" si="7"/>
        <v>20</v>
      </c>
    </row>
    <row r="240" spans="1:8" x14ac:dyDescent="0.35">
      <c r="A240" s="2" t="s">
        <v>84</v>
      </c>
      <c r="B240" s="11">
        <v>2015</v>
      </c>
      <c r="C240" s="1">
        <v>1.3</v>
      </c>
      <c r="D240" s="1">
        <v>2.1</v>
      </c>
      <c r="E240" s="7" t="s">
        <v>186</v>
      </c>
      <c r="F240" s="7" t="s">
        <v>258</v>
      </c>
      <c r="G240" s="1" t="str">
        <f t="shared" si="6"/>
        <v>Taylor</v>
      </c>
      <c r="H240" s="1" t="str">
        <f t="shared" si="7"/>
        <v>02</v>
      </c>
    </row>
    <row r="241" spans="1:8" x14ac:dyDescent="0.35">
      <c r="A241" s="2" t="s">
        <v>85</v>
      </c>
      <c r="B241" s="11">
        <v>2015</v>
      </c>
      <c r="C241" s="1">
        <v>0.5</v>
      </c>
      <c r="D241" s="1">
        <v>3.9</v>
      </c>
      <c r="E241" s="7" t="s">
        <v>195</v>
      </c>
      <c r="F241" s="7" t="s">
        <v>259</v>
      </c>
      <c r="G241" s="1" t="str">
        <f t="shared" si="6"/>
        <v>Morris</v>
      </c>
      <c r="H241" s="1" t="str">
        <f t="shared" si="7"/>
        <v>02</v>
      </c>
    </row>
    <row r="242" spans="1:8" x14ac:dyDescent="0.35">
      <c r="A242" s="2" t="s">
        <v>86</v>
      </c>
      <c r="B242" s="11">
        <v>2015</v>
      </c>
      <c r="C242" s="1">
        <v>2</v>
      </c>
      <c r="D242" s="1">
        <v>3.9</v>
      </c>
      <c r="E242" s="7" t="s">
        <v>227</v>
      </c>
      <c r="F242" s="7" t="s">
        <v>260</v>
      </c>
      <c r="G242" s="1" t="str">
        <f t="shared" si="6"/>
        <v>Pierre</v>
      </c>
      <c r="H242" s="1" t="str">
        <f t="shared" si="7"/>
        <v>22</v>
      </c>
    </row>
    <row r="243" spans="1:8" x14ac:dyDescent="0.35">
      <c r="A243" s="2" t="s">
        <v>87</v>
      </c>
      <c r="B243" s="11">
        <v>2015</v>
      </c>
      <c r="C243" s="1">
        <v>4.2</v>
      </c>
      <c r="D243" s="1">
        <v>2.6</v>
      </c>
      <c r="E243" s="7" t="s">
        <v>186</v>
      </c>
      <c r="F243" s="7" t="s">
        <v>261</v>
      </c>
      <c r="G243" s="1" t="str">
        <f t="shared" si="6"/>
        <v>Frankie</v>
      </c>
      <c r="H243" s="1" t="str">
        <f t="shared" si="7"/>
        <v>42</v>
      </c>
    </row>
    <row r="244" spans="1:8" x14ac:dyDescent="0.35">
      <c r="A244" s="2" t="s">
        <v>88</v>
      </c>
      <c r="B244" s="11">
        <v>2015</v>
      </c>
      <c r="C244" s="1">
        <v>0.4</v>
      </c>
      <c r="D244" s="1">
        <v>1.5</v>
      </c>
      <c r="E244" s="7" t="s">
        <v>183</v>
      </c>
      <c r="F244" s="7" t="s">
        <v>262</v>
      </c>
      <c r="G244" s="1" t="str">
        <f t="shared" si="6"/>
        <v>Bret</v>
      </c>
      <c r="H244" s="1" t="str">
        <f t="shared" si="7"/>
        <v>00</v>
      </c>
    </row>
    <row r="245" spans="1:8" x14ac:dyDescent="0.35">
      <c r="A245" s="2" t="s">
        <v>89</v>
      </c>
      <c r="B245" s="11">
        <v>2015</v>
      </c>
      <c r="C245" s="1">
        <v>1.1000000000000001</v>
      </c>
      <c r="D245" s="1">
        <v>1.6</v>
      </c>
      <c r="E245" s="7" t="s">
        <v>183</v>
      </c>
      <c r="F245" s="7" t="s">
        <v>263</v>
      </c>
      <c r="G245" s="1" t="str">
        <f t="shared" si="6"/>
        <v>Harley</v>
      </c>
      <c r="H245" s="1" t="str">
        <f t="shared" si="7"/>
        <v>00</v>
      </c>
    </row>
    <row r="246" spans="1:8" x14ac:dyDescent="0.35">
      <c r="A246" s="2" t="s">
        <v>90</v>
      </c>
      <c r="B246" s="11">
        <v>2015</v>
      </c>
      <c r="C246" s="1">
        <v>1.7</v>
      </c>
      <c r="D246" s="1">
        <v>2.4</v>
      </c>
      <c r="E246" s="7" t="s">
        <v>181</v>
      </c>
      <c r="F246" s="7" t="s">
        <v>264</v>
      </c>
      <c r="G246" s="1" t="str">
        <f t="shared" si="6"/>
        <v>Jess</v>
      </c>
      <c r="H246" s="1" t="str">
        <f t="shared" si="7"/>
        <v>02</v>
      </c>
    </row>
    <row r="247" spans="1:8" x14ac:dyDescent="0.35">
      <c r="A247" s="2" t="s">
        <v>91</v>
      </c>
      <c r="B247" s="11">
        <v>2015</v>
      </c>
      <c r="C247" s="1">
        <v>2.8</v>
      </c>
      <c r="D247" s="1">
        <v>3.2</v>
      </c>
      <c r="E247" s="7" t="s">
        <v>227</v>
      </c>
      <c r="F247" s="7" t="s">
        <v>265</v>
      </c>
      <c r="G247" s="1" t="str">
        <f t="shared" si="6"/>
        <v>Junior</v>
      </c>
      <c r="H247" s="1" t="str">
        <f t="shared" si="7"/>
        <v>22</v>
      </c>
    </row>
    <row r="248" spans="1:8" x14ac:dyDescent="0.35">
      <c r="A248" s="2" t="s">
        <v>92</v>
      </c>
      <c r="B248" s="11">
        <v>2015</v>
      </c>
      <c r="C248" s="1">
        <v>2.5</v>
      </c>
      <c r="D248" s="1">
        <v>4.4000000000000004</v>
      </c>
      <c r="E248" s="7" t="s">
        <v>183</v>
      </c>
      <c r="F248" s="7" t="s">
        <v>266</v>
      </c>
      <c r="G248" s="1" t="str">
        <f t="shared" si="6"/>
        <v>Emmett</v>
      </c>
      <c r="H248" s="1" t="str">
        <f t="shared" si="7"/>
        <v>24</v>
      </c>
    </row>
    <row r="249" spans="1:8" x14ac:dyDescent="0.35">
      <c r="A249" s="2" t="s">
        <v>93</v>
      </c>
      <c r="B249" s="11">
        <v>2015</v>
      </c>
      <c r="C249" s="1">
        <v>3</v>
      </c>
      <c r="D249" s="1">
        <v>2.2000000000000002</v>
      </c>
      <c r="E249" s="7" t="s">
        <v>183</v>
      </c>
      <c r="F249" s="7" t="s">
        <v>267</v>
      </c>
      <c r="G249" s="1" t="str">
        <f t="shared" si="6"/>
        <v>Reynaldo</v>
      </c>
      <c r="H249" s="1" t="str">
        <f t="shared" si="7"/>
        <v>22</v>
      </c>
    </row>
    <row r="250" spans="1:8" x14ac:dyDescent="0.35">
      <c r="A250" s="2" t="s">
        <v>94</v>
      </c>
      <c r="B250" s="11">
        <v>2015</v>
      </c>
      <c r="C250" s="1">
        <v>2.6</v>
      </c>
      <c r="D250" s="1">
        <v>1.4</v>
      </c>
      <c r="E250" s="7" t="s">
        <v>186</v>
      </c>
      <c r="F250" s="7" t="s">
        <v>268</v>
      </c>
      <c r="G250" s="1" t="str">
        <f t="shared" si="6"/>
        <v>Holly</v>
      </c>
      <c r="H250" s="1" t="str">
        <f t="shared" si="7"/>
        <v>20</v>
      </c>
    </row>
    <row r="251" spans="1:8" x14ac:dyDescent="0.35">
      <c r="A251" s="2" t="s">
        <v>95</v>
      </c>
      <c r="B251" s="11">
        <v>2015</v>
      </c>
      <c r="C251" s="1">
        <v>4.8</v>
      </c>
      <c r="D251" s="1">
        <v>2.8</v>
      </c>
      <c r="E251" s="7" t="s">
        <v>186</v>
      </c>
      <c r="F251" s="7" t="s">
        <v>269</v>
      </c>
      <c r="G251" s="1" t="str">
        <f t="shared" si="6"/>
        <v>Bert</v>
      </c>
      <c r="H251" s="1" t="str">
        <f t="shared" si="7"/>
        <v>42</v>
      </c>
    </row>
    <row r="252" spans="1:8" x14ac:dyDescent="0.35">
      <c r="A252" s="2" t="s">
        <v>96</v>
      </c>
      <c r="B252" s="11">
        <v>2015</v>
      </c>
      <c r="C252" s="1">
        <v>4.7</v>
      </c>
      <c r="D252" s="1">
        <v>2.7</v>
      </c>
      <c r="E252" s="7" t="s">
        <v>186</v>
      </c>
      <c r="F252" s="7" t="s">
        <v>270</v>
      </c>
      <c r="G252" s="1" t="str">
        <f t="shared" si="6"/>
        <v>Rogelio</v>
      </c>
      <c r="H252" s="1" t="str">
        <f t="shared" si="7"/>
        <v>42</v>
      </c>
    </row>
    <row r="253" spans="1:8" x14ac:dyDescent="0.35">
      <c r="A253" s="2" t="s">
        <v>97</v>
      </c>
      <c r="B253" s="11">
        <v>2015</v>
      </c>
      <c r="C253" s="1">
        <v>2.2000000000000002</v>
      </c>
      <c r="D253" s="1">
        <v>1.9</v>
      </c>
      <c r="E253" s="7" t="s">
        <v>186</v>
      </c>
      <c r="F253" s="7" t="s">
        <v>271</v>
      </c>
      <c r="G253" s="1" t="str">
        <f t="shared" si="6"/>
        <v>Terence</v>
      </c>
      <c r="H253" s="1" t="str">
        <f t="shared" si="7"/>
        <v>20</v>
      </c>
    </row>
    <row r="254" spans="1:8" x14ac:dyDescent="0.35">
      <c r="A254" s="2" t="s">
        <v>98</v>
      </c>
      <c r="B254" s="11">
        <v>2015</v>
      </c>
      <c r="C254" s="1">
        <v>1.4</v>
      </c>
      <c r="D254" s="1">
        <v>2.1</v>
      </c>
      <c r="E254" s="7" t="s">
        <v>195</v>
      </c>
      <c r="F254" s="7" t="s">
        <v>272</v>
      </c>
      <c r="G254" s="1" t="str">
        <f t="shared" si="6"/>
        <v>Percy</v>
      </c>
      <c r="H254" s="1" t="str">
        <f t="shared" si="7"/>
        <v>02</v>
      </c>
    </row>
    <row r="255" spans="1:8" x14ac:dyDescent="0.35">
      <c r="A255" s="2" t="s">
        <v>99</v>
      </c>
      <c r="B255" s="11">
        <v>2015</v>
      </c>
      <c r="C255" s="1">
        <v>3.9</v>
      </c>
      <c r="D255" s="1">
        <v>4.5999999999999996</v>
      </c>
      <c r="E255" s="7" t="s">
        <v>186</v>
      </c>
      <c r="F255" s="7" t="s">
        <v>273</v>
      </c>
      <c r="G255" s="1" t="str">
        <f t="shared" si="6"/>
        <v>Santiago</v>
      </c>
      <c r="H255" s="1" t="str">
        <f t="shared" si="7"/>
        <v>24</v>
      </c>
    </row>
    <row r="256" spans="1:8" x14ac:dyDescent="0.35">
      <c r="A256" s="2" t="s">
        <v>100</v>
      </c>
      <c r="B256" s="11">
        <v>2015</v>
      </c>
      <c r="C256" s="1">
        <v>3.6</v>
      </c>
      <c r="D256" s="1">
        <v>3.2</v>
      </c>
      <c r="E256" s="7" t="s">
        <v>186</v>
      </c>
      <c r="F256" s="7" t="s">
        <v>274</v>
      </c>
      <c r="G256" s="1" t="str">
        <f t="shared" si="6"/>
        <v>Alonzo</v>
      </c>
      <c r="H256" s="1" t="str">
        <f t="shared" si="7"/>
        <v>22</v>
      </c>
    </row>
    <row r="257" spans="1:8" x14ac:dyDescent="0.35">
      <c r="A257" s="2" t="s">
        <v>101</v>
      </c>
      <c r="B257" s="11">
        <v>2015</v>
      </c>
      <c r="C257" s="1">
        <v>2.4</v>
      </c>
      <c r="D257" s="1">
        <v>5</v>
      </c>
      <c r="E257" s="7" t="s">
        <v>186</v>
      </c>
      <c r="F257" s="7" t="s">
        <v>275</v>
      </c>
      <c r="G257" s="1" t="str">
        <f t="shared" si="6"/>
        <v>Josh</v>
      </c>
      <c r="H257" s="1" t="str">
        <f t="shared" si="7"/>
        <v>24</v>
      </c>
    </row>
    <row r="258" spans="1:8" x14ac:dyDescent="0.35">
      <c r="A258" s="2" t="s">
        <v>102</v>
      </c>
      <c r="B258" s="11">
        <v>2015</v>
      </c>
      <c r="C258" s="1">
        <v>1.4</v>
      </c>
      <c r="D258" s="1">
        <v>1.1000000000000001</v>
      </c>
      <c r="E258" s="7" t="s">
        <v>186</v>
      </c>
      <c r="F258" s="7" t="s">
        <v>276</v>
      </c>
      <c r="G258" s="1" t="str">
        <f t="shared" ref="G258:G321" si="8">LEFT(F258,FIND(" ",F258)-1)</f>
        <v>Ignacio</v>
      </c>
      <c r="H258" s="1" t="str">
        <f t="shared" ref="H258:H321" si="9">FLOOR(C258,2)&amp;FLOOR(D258,2)</f>
        <v>00</v>
      </c>
    </row>
    <row r="259" spans="1:8" x14ac:dyDescent="0.35">
      <c r="A259" s="2" t="s">
        <v>103</v>
      </c>
      <c r="B259" s="11">
        <v>2015</v>
      </c>
      <c r="C259" s="1">
        <v>4</v>
      </c>
      <c r="D259" s="1">
        <v>3.8</v>
      </c>
      <c r="E259" s="7" t="s">
        <v>186</v>
      </c>
      <c r="F259" s="7" t="s">
        <v>277</v>
      </c>
      <c r="G259" s="1" t="str">
        <f t="shared" si="8"/>
        <v>Ramiro</v>
      </c>
      <c r="H259" s="1" t="str">
        <f t="shared" si="9"/>
        <v>42</v>
      </c>
    </row>
    <row r="260" spans="1:8" x14ac:dyDescent="0.35">
      <c r="A260" s="2" t="s">
        <v>104</v>
      </c>
      <c r="B260" s="11">
        <v>2015</v>
      </c>
      <c r="C260" s="1">
        <v>3.8</v>
      </c>
      <c r="D260" s="1">
        <v>2.1</v>
      </c>
      <c r="E260" s="7" t="s">
        <v>186</v>
      </c>
      <c r="F260" s="7" t="s">
        <v>278</v>
      </c>
      <c r="G260" s="1" t="str">
        <f t="shared" si="8"/>
        <v>Conrad</v>
      </c>
      <c r="H260" s="1" t="str">
        <f t="shared" si="9"/>
        <v>22</v>
      </c>
    </row>
    <row r="261" spans="1:8" x14ac:dyDescent="0.35">
      <c r="A261" s="2" t="s">
        <v>105</v>
      </c>
      <c r="B261" s="11">
        <v>2015</v>
      </c>
      <c r="C261" s="1">
        <v>0.2</v>
      </c>
      <c r="D261" s="1">
        <v>2.1</v>
      </c>
      <c r="E261" s="7" t="s">
        <v>186</v>
      </c>
      <c r="F261" s="7" t="s">
        <v>279</v>
      </c>
      <c r="G261" s="1" t="str">
        <f t="shared" si="8"/>
        <v>Pat</v>
      </c>
      <c r="H261" s="1" t="str">
        <f t="shared" si="9"/>
        <v>02</v>
      </c>
    </row>
    <row r="262" spans="1:8" x14ac:dyDescent="0.35">
      <c r="A262" s="2" t="s">
        <v>106</v>
      </c>
      <c r="B262" s="11">
        <v>2015</v>
      </c>
      <c r="C262" s="1">
        <v>1.5</v>
      </c>
      <c r="D262" s="1">
        <v>4.4000000000000004</v>
      </c>
      <c r="E262" s="7" t="s">
        <v>195</v>
      </c>
      <c r="F262" s="7" t="s">
        <v>280</v>
      </c>
      <c r="G262" s="1" t="str">
        <f t="shared" si="8"/>
        <v>Darin</v>
      </c>
      <c r="H262" s="1" t="str">
        <f t="shared" si="9"/>
        <v>04</v>
      </c>
    </row>
    <row r="263" spans="1:8" x14ac:dyDescent="0.35">
      <c r="A263" s="2" t="s">
        <v>107</v>
      </c>
      <c r="B263" s="11">
        <v>2015</v>
      </c>
      <c r="C263" s="1">
        <v>4.3</v>
      </c>
      <c r="D263" s="1">
        <v>4.2</v>
      </c>
      <c r="E263" s="7" t="s">
        <v>195</v>
      </c>
      <c r="F263" s="7" t="s">
        <v>281</v>
      </c>
      <c r="G263" s="1" t="str">
        <f t="shared" si="8"/>
        <v>Amos</v>
      </c>
      <c r="H263" s="1" t="str">
        <f t="shared" si="9"/>
        <v>44</v>
      </c>
    </row>
    <row r="264" spans="1:8" x14ac:dyDescent="0.35">
      <c r="A264" s="2" t="s">
        <v>108</v>
      </c>
      <c r="B264" s="11">
        <v>2015</v>
      </c>
      <c r="C264" s="1">
        <v>3.7</v>
      </c>
      <c r="D264" s="1">
        <v>1.2</v>
      </c>
      <c r="E264" s="7" t="s">
        <v>183</v>
      </c>
      <c r="F264" s="7" t="s">
        <v>282</v>
      </c>
      <c r="G264" s="1" t="str">
        <f t="shared" si="8"/>
        <v>Eldon</v>
      </c>
      <c r="H264" s="1" t="str">
        <f t="shared" si="9"/>
        <v>20</v>
      </c>
    </row>
    <row r="265" spans="1:8" x14ac:dyDescent="0.35">
      <c r="A265" s="2" t="s">
        <v>109</v>
      </c>
      <c r="B265" s="11">
        <v>2015</v>
      </c>
      <c r="C265" s="1">
        <v>1.7</v>
      </c>
      <c r="D265" s="1">
        <v>1.9</v>
      </c>
      <c r="E265" s="7" t="s">
        <v>195</v>
      </c>
      <c r="F265" s="7" t="s">
        <v>283</v>
      </c>
      <c r="G265" s="1" t="str">
        <f t="shared" si="8"/>
        <v>Dominick</v>
      </c>
      <c r="H265" s="1" t="str">
        <f t="shared" si="9"/>
        <v>00</v>
      </c>
    </row>
    <row r="266" spans="1:8" x14ac:dyDescent="0.35">
      <c r="A266" s="2" t="s">
        <v>110</v>
      </c>
      <c r="B266" s="11">
        <v>2015</v>
      </c>
      <c r="C266" s="1">
        <v>1.9</v>
      </c>
      <c r="D266" s="1">
        <v>4.2</v>
      </c>
      <c r="E266" s="7" t="s">
        <v>195</v>
      </c>
      <c r="F266" s="7" t="s">
        <v>284</v>
      </c>
      <c r="G266" s="1" t="str">
        <f t="shared" si="8"/>
        <v>Van</v>
      </c>
      <c r="H266" s="1" t="str">
        <f t="shared" si="9"/>
        <v>04</v>
      </c>
    </row>
    <row r="267" spans="1:8" x14ac:dyDescent="0.35">
      <c r="A267" s="2" t="s">
        <v>111</v>
      </c>
      <c r="B267" s="11">
        <v>2015</v>
      </c>
      <c r="C267" s="1">
        <v>3.8</v>
      </c>
      <c r="D267" s="1">
        <v>1.8</v>
      </c>
      <c r="E267" s="7" t="s">
        <v>195</v>
      </c>
      <c r="F267" s="7" t="s">
        <v>285</v>
      </c>
      <c r="G267" s="1" t="str">
        <f t="shared" si="8"/>
        <v>Saul</v>
      </c>
      <c r="H267" s="1" t="str">
        <f t="shared" si="9"/>
        <v>20</v>
      </c>
    </row>
    <row r="268" spans="1:8" x14ac:dyDescent="0.35">
      <c r="A268" s="2" t="s">
        <v>112</v>
      </c>
      <c r="B268" s="11">
        <v>2015</v>
      </c>
      <c r="C268" s="1">
        <v>3.4</v>
      </c>
      <c r="D268" s="1">
        <v>3</v>
      </c>
      <c r="E268" s="7" t="s">
        <v>195</v>
      </c>
      <c r="F268" s="7" t="s">
        <v>286</v>
      </c>
      <c r="G268" s="1" t="str">
        <f t="shared" si="8"/>
        <v>Clifton</v>
      </c>
      <c r="H268" s="1" t="str">
        <f t="shared" si="9"/>
        <v>22</v>
      </c>
    </row>
    <row r="269" spans="1:8" x14ac:dyDescent="0.35">
      <c r="A269" s="2" t="s">
        <v>113</v>
      </c>
      <c r="B269" s="11">
        <v>2015</v>
      </c>
      <c r="C269" s="1">
        <v>1.7</v>
      </c>
      <c r="D269" s="1">
        <v>3.5</v>
      </c>
      <c r="E269" s="7" t="s">
        <v>195</v>
      </c>
      <c r="F269" s="7" t="s">
        <v>287</v>
      </c>
      <c r="G269" s="1" t="str">
        <f t="shared" si="8"/>
        <v>Willard</v>
      </c>
      <c r="H269" s="1" t="str">
        <f t="shared" si="9"/>
        <v>02</v>
      </c>
    </row>
    <row r="270" spans="1:8" x14ac:dyDescent="0.35">
      <c r="A270" s="2" t="s">
        <v>114</v>
      </c>
      <c r="B270" s="11">
        <v>2015</v>
      </c>
      <c r="C270" s="1">
        <v>0.7</v>
      </c>
      <c r="D270" s="1">
        <v>2.7</v>
      </c>
      <c r="E270" s="7" t="s">
        <v>183</v>
      </c>
      <c r="F270" s="7" t="s">
        <v>288</v>
      </c>
      <c r="G270" s="1" t="str">
        <f t="shared" si="8"/>
        <v>Will</v>
      </c>
      <c r="H270" s="1" t="str">
        <f t="shared" si="9"/>
        <v>02</v>
      </c>
    </row>
    <row r="271" spans="1:8" x14ac:dyDescent="0.35">
      <c r="A271" s="2" t="s">
        <v>115</v>
      </c>
      <c r="B271" s="11">
        <v>2015</v>
      </c>
      <c r="C271" s="1">
        <v>4</v>
      </c>
      <c r="D271" s="1">
        <v>0.6</v>
      </c>
      <c r="E271" s="7" t="s">
        <v>183</v>
      </c>
      <c r="F271" s="7" t="s">
        <v>289</v>
      </c>
      <c r="G271" s="1" t="str">
        <f t="shared" si="8"/>
        <v>Morgan</v>
      </c>
      <c r="H271" s="1" t="str">
        <f t="shared" si="9"/>
        <v>40</v>
      </c>
    </row>
    <row r="272" spans="1:8" x14ac:dyDescent="0.35">
      <c r="A272" s="2" t="s">
        <v>116</v>
      </c>
      <c r="B272" s="11">
        <v>2015</v>
      </c>
      <c r="C272" s="1">
        <v>3.9</v>
      </c>
      <c r="D272" s="1">
        <v>4.5999999999999996</v>
      </c>
      <c r="E272" s="7" t="s">
        <v>183</v>
      </c>
      <c r="F272" s="7" t="s">
        <v>290</v>
      </c>
      <c r="G272" s="1" t="str">
        <f t="shared" si="8"/>
        <v>Jeanette</v>
      </c>
      <c r="H272" s="1" t="str">
        <f t="shared" si="9"/>
        <v>24</v>
      </c>
    </row>
    <row r="273" spans="1:8" x14ac:dyDescent="0.35">
      <c r="A273" s="2" t="s">
        <v>117</v>
      </c>
      <c r="B273" s="11">
        <v>2015</v>
      </c>
      <c r="C273" s="1">
        <v>3</v>
      </c>
      <c r="D273" s="1">
        <v>2.5</v>
      </c>
      <c r="E273" s="7" t="s">
        <v>183</v>
      </c>
      <c r="F273" s="7" t="s">
        <v>291</v>
      </c>
      <c r="G273" s="1" t="str">
        <f t="shared" si="8"/>
        <v>Shannon</v>
      </c>
      <c r="H273" s="1" t="str">
        <f t="shared" si="9"/>
        <v>22</v>
      </c>
    </row>
    <row r="274" spans="1:8" x14ac:dyDescent="0.35">
      <c r="A274" s="2" t="s">
        <v>118</v>
      </c>
      <c r="B274" s="11">
        <v>2015</v>
      </c>
      <c r="C274" s="1">
        <v>2.1</v>
      </c>
      <c r="D274" s="1">
        <v>4.3</v>
      </c>
      <c r="E274" s="7" t="s">
        <v>183</v>
      </c>
      <c r="F274" s="7" t="s">
        <v>292</v>
      </c>
      <c r="G274" s="1" t="str">
        <f t="shared" si="8"/>
        <v>Laurie</v>
      </c>
      <c r="H274" s="1" t="str">
        <f t="shared" si="9"/>
        <v>24</v>
      </c>
    </row>
    <row r="275" spans="1:8" x14ac:dyDescent="0.35">
      <c r="A275" s="2" t="s">
        <v>119</v>
      </c>
      <c r="B275" s="11">
        <v>2015</v>
      </c>
      <c r="C275" s="1">
        <v>1.2</v>
      </c>
      <c r="D275" s="1">
        <v>4</v>
      </c>
      <c r="E275" s="7" t="s">
        <v>181</v>
      </c>
      <c r="F275" s="7" t="s">
        <v>293</v>
      </c>
      <c r="G275" s="1" t="str">
        <f t="shared" si="8"/>
        <v>Trent</v>
      </c>
      <c r="H275" s="1" t="str">
        <f t="shared" si="9"/>
        <v>04</v>
      </c>
    </row>
    <row r="276" spans="1:8" x14ac:dyDescent="0.35">
      <c r="A276" s="2" t="s">
        <v>120</v>
      </c>
      <c r="B276" s="11">
        <v>2015</v>
      </c>
      <c r="C276" s="1">
        <v>0.6</v>
      </c>
      <c r="D276" s="1">
        <v>3.3</v>
      </c>
      <c r="E276" s="7" t="s">
        <v>195</v>
      </c>
      <c r="F276" s="7" t="s">
        <v>294</v>
      </c>
      <c r="G276" s="1" t="str">
        <f t="shared" si="8"/>
        <v>Brendan</v>
      </c>
      <c r="H276" s="1" t="str">
        <f t="shared" si="9"/>
        <v>02</v>
      </c>
    </row>
    <row r="277" spans="1:8" x14ac:dyDescent="0.35">
      <c r="A277" s="2" t="s">
        <v>121</v>
      </c>
      <c r="B277" s="11">
        <v>2015</v>
      </c>
      <c r="C277" s="1">
        <v>4.9000000000000004</v>
      </c>
      <c r="D277" s="1">
        <v>4.8</v>
      </c>
      <c r="E277" s="7" t="s">
        <v>186</v>
      </c>
      <c r="F277" s="7" t="s">
        <v>295</v>
      </c>
      <c r="G277" s="1" t="str">
        <f t="shared" si="8"/>
        <v>Toby</v>
      </c>
      <c r="H277" s="1" t="str">
        <f t="shared" si="9"/>
        <v>44</v>
      </c>
    </row>
    <row r="278" spans="1:8" x14ac:dyDescent="0.35">
      <c r="A278" s="2" t="s">
        <v>122</v>
      </c>
      <c r="B278" s="11">
        <v>2015</v>
      </c>
      <c r="C278" s="1">
        <v>0.9</v>
      </c>
      <c r="D278" s="1">
        <v>2.4</v>
      </c>
      <c r="E278" s="7" t="s">
        <v>195</v>
      </c>
      <c r="F278" s="7" t="s">
        <v>296</v>
      </c>
      <c r="G278" s="1" t="str">
        <f t="shared" si="8"/>
        <v>Domingo</v>
      </c>
      <c r="H278" s="1" t="str">
        <f t="shared" si="9"/>
        <v>02</v>
      </c>
    </row>
    <row r="279" spans="1:8" x14ac:dyDescent="0.35">
      <c r="A279" s="2" t="s">
        <v>123</v>
      </c>
      <c r="B279" s="11">
        <v>2015</v>
      </c>
      <c r="C279" s="1">
        <v>1.2</v>
      </c>
      <c r="D279" s="1">
        <v>2.9</v>
      </c>
      <c r="E279" s="7" t="s">
        <v>195</v>
      </c>
      <c r="F279" s="7" t="s">
        <v>297</v>
      </c>
      <c r="G279" s="1" t="str">
        <f t="shared" si="8"/>
        <v>Santos</v>
      </c>
      <c r="H279" s="1" t="str">
        <f t="shared" si="9"/>
        <v>02</v>
      </c>
    </row>
    <row r="280" spans="1:8" x14ac:dyDescent="0.35">
      <c r="A280" s="2" t="s">
        <v>124</v>
      </c>
      <c r="B280" s="11">
        <v>2015</v>
      </c>
      <c r="C280" s="1">
        <v>2.5</v>
      </c>
      <c r="D280" s="1">
        <v>0.8</v>
      </c>
      <c r="E280" s="7" t="s">
        <v>186</v>
      </c>
      <c r="F280" s="7" t="s">
        <v>298</v>
      </c>
      <c r="G280" s="1" t="str">
        <f t="shared" si="8"/>
        <v>Cary</v>
      </c>
      <c r="H280" s="1" t="str">
        <f t="shared" si="9"/>
        <v>20</v>
      </c>
    </row>
    <row r="281" spans="1:8" x14ac:dyDescent="0.35">
      <c r="A281" s="2" t="s">
        <v>125</v>
      </c>
      <c r="B281" s="11">
        <v>2015</v>
      </c>
      <c r="C281" s="1">
        <v>2.2000000000000002</v>
      </c>
      <c r="D281" s="1">
        <v>1</v>
      </c>
      <c r="E281" s="7" t="s">
        <v>186</v>
      </c>
      <c r="F281" s="7" t="s">
        <v>299</v>
      </c>
      <c r="G281" s="1" t="str">
        <f t="shared" si="8"/>
        <v>Simon</v>
      </c>
      <c r="H281" s="1" t="str">
        <f t="shared" si="9"/>
        <v>20</v>
      </c>
    </row>
    <row r="282" spans="1:8" x14ac:dyDescent="0.35">
      <c r="A282" s="2" t="s">
        <v>126</v>
      </c>
      <c r="B282" s="11">
        <v>2015</v>
      </c>
      <c r="C282" s="1">
        <v>1.1000000000000001</v>
      </c>
      <c r="D282" s="1">
        <v>0.9</v>
      </c>
      <c r="E282" s="7" t="s">
        <v>195</v>
      </c>
      <c r="F282" s="7" t="s">
        <v>300</v>
      </c>
      <c r="G282" s="1" t="str">
        <f t="shared" si="8"/>
        <v>Marshall</v>
      </c>
      <c r="H282" s="1" t="str">
        <f t="shared" si="9"/>
        <v>00</v>
      </c>
    </row>
    <row r="283" spans="1:8" x14ac:dyDescent="0.35">
      <c r="A283" s="2" t="s">
        <v>127</v>
      </c>
      <c r="B283" s="11">
        <v>2015</v>
      </c>
      <c r="C283" s="1">
        <v>4</v>
      </c>
      <c r="D283" s="1">
        <v>1.8</v>
      </c>
      <c r="E283" s="7" t="s">
        <v>183</v>
      </c>
      <c r="F283" s="7" t="s">
        <v>301</v>
      </c>
      <c r="G283" s="1" t="str">
        <f t="shared" si="8"/>
        <v>Emanuel</v>
      </c>
      <c r="H283" s="1" t="str">
        <f t="shared" si="9"/>
        <v>40</v>
      </c>
    </row>
    <row r="284" spans="1:8" x14ac:dyDescent="0.35">
      <c r="A284" s="2" t="s">
        <v>128</v>
      </c>
      <c r="B284" s="11">
        <v>2015</v>
      </c>
      <c r="C284" s="1">
        <v>4.8</v>
      </c>
      <c r="D284" s="1">
        <v>4</v>
      </c>
      <c r="E284" s="7" t="s">
        <v>195</v>
      </c>
      <c r="F284" s="7" t="s">
        <v>302</v>
      </c>
      <c r="G284" s="1" t="str">
        <f t="shared" si="8"/>
        <v>Courtney</v>
      </c>
      <c r="H284" s="1" t="str">
        <f t="shared" si="9"/>
        <v>44</v>
      </c>
    </row>
    <row r="285" spans="1:8" x14ac:dyDescent="0.35">
      <c r="A285" s="2" t="s">
        <v>129</v>
      </c>
      <c r="B285" s="11">
        <v>2015</v>
      </c>
      <c r="C285" s="1">
        <v>2.2000000000000002</v>
      </c>
      <c r="D285" s="1">
        <v>2.2999999999999998</v>
      </c>
      <c r="E285" s="7" t="s">
        <v>195</v>
      </c>
      <c r="F285" s="7" t="s">
        <v>303</v>
      </c>
      <c r="G285" s="1" t="str">
        <f t="shared" si="8"/>
        <v>Daryl</v>
      </c>
      <c r="H285" s="1" t="str">
        <f t="shared" si="9"/>
        <v>22</v>
      </c>
    </row>
    <row r="286" spans="1:8" x14ac:dyDescent="0.35">
      <c r="A286" s="2" t="s">
        <v>130</v>
      </c>
      <c r="B286" s="11">
        <v>2015</v>
      </c>
      <c r="C286" s="1">
        <v>4.8</v>
      </c>
      <c r="D286" s="1">
        <v>1.4</v>
      </c>
      <c r="E286" s="7" t="s">
        <v>195</v>
      </c>
      <c r="F286" s="7" t="s">
        <v>304</v>
      </c>
      <c r="G286" s="1" t="str">
        <f t="shared" si="8"/>
        <v>Jan</v>
      </c>
      <c r="H286" s="1" t="str">
        <f t="shared" si="9"/>
        <v>40</v>
      </c>
    </row>
    <row r="287" spans="1:8" x14ac:dyDescent="0.35">
      <c r="A287" s="2" t="s">
        <v>131</v>
      </c>
      <c r="B287" s="11">
        <v>2015</v>
      </c>
      <c r="C287" s="1">
        <v>0.8</v>
      </c>
      <c r="D287" s="1">
        <v>3.2</v>
      </c>
      <c r="E287" s="7" t="s">
        <v>183</v>
      </c>
      <c r="F287" s="7" t="s">
        <v>305</v>
      </c>
      <c r="G287" s="1" t="str">
        <f t="shared" si="8"/>
        <v>Brittany</v>
      </c>
      <c r="H287" s="1" t="str">
        <f t="shared" si="9"/>
        <v>02</v>
      </c>
    </row>
    <row r="288" spans="1:8" x14ac:dyDescent="0.35">
      <c r="A288" s="2" t="s">
        <v>132</v>
      </c>
      <c r="B288" s="11">
        <v>2015</v>
      </c>
      <c r="C288" s="1">
        <v>2.8</v>
      </c>
      <c r="D288" s="1">
        <v>4.3</v>
      </c>
      <c r="E288" s="7" t="s">
        <v>183</v>
      </c>
      <c r="F288" s="7" t="s">
        <v>306</v>
      </c>
      <c r="G288" s="1" t="str">
        <f t="shared" si="8"/>
        <v>Demetrius</v>
      </c>
      <c r="H288" s="1" t="str">
        <f t="shared" si="9"/>
        <v>24</v>
      </c>
    </row>
    <row r="289" spans="1:8" x14ac:dyDescent="0.35">
      <c r="A289" s="2" t="s">
        <v>133</v>
      </c>
      <c r="B289" s="11">
        <v>2015</v>
      </c>
      <c r="C289" s="1">
        <v>0.2</v>
      </c>
      <c r="D289" s="1">
        <v>3.7</v>
      </c>
      <c r="E289" s="7" t="s">
        <v>181</v>
      </c>
      <c r="F289" s="7" t="s">
        <v>307</v>
      </c>
      <c r="G289" s="1" t="str">
        <f t="shared" si="8"/>
        <v>Irving</v>
      </c>
      <c r="H289" s="1" t="str">
        <f t="shared" si="9"/>
        <v>02</v>
      </c>
    </row>
    <row r="290" spans="1:8" x14ac:dyDescent="0.35">
      <c r="A290" s="2" t="s">
        <v>134</v>
      </c>
      <c r="B290" s="11">
        <v>2015</v>
      </c>
      <c r="C290" s="1">
        <v>3.1</v>
      </c>
      <c r="D290" s="1">
        <v>4.5999999999999996</v>
      </c>
      <c r="E290" s="7" t="s">
        <v>183</v>
      </c>
      <c r="F290" s="7" t="s">
        <v>308</v>
      </c>
      <c r="G290" s="1" t="str">
        <f t="shared" si="8"/>
        <v>Edmond</v>
      </c>
      <c r="H290" s="1" t="str">
        <f t="shared" si="9"/>
        <v>24</v>
      </c>
    </row>
    <row r="291" spans="1:8" x14ac:dyDescent="0.35">
      <c r="A291" s="2" t="s">
        <v>135</v>
      </c>
      <c r="B291" s="11">
        <v>2015</v>
      </c>
      <c r="C291" s="1">
        <v>1.9</v>
      </c>
      <c r="D291" s="1">
        <v>3.4</v>
      </c>
      <c r="E291" s="7" t="s">
        <v>183</v>
      </c>
      <c r="F291" s="7" t="s">
        <v>309</v>
      </c>
      <c r="G291" s="1" t="str">
        <f t="shared" si="8"/>
        <v>Yolanda</v>
      </c>
      <c r="H291" s="1" t="str">
        <f t="shared" si="9"/>
        <v>02</v>
      </c>
    </row>
    <row r="292" spans="1:8" x14ac:dyDescent="0.35">
      <c r="A292" s="2" t="s">
        <v>136</v>
      </c>
      <c r="B292" s="11">
        <v>2015</v>
      </c>
      <c r="C292" s="1">
        <v>0.7</v>
      </c>
      <c r="D292" s="1">
        <v>3.8</v>
      </c>
      <c r="E292" s="7" t="s">
        <v>195</v>
      </c>
      <c r="F292" s="7" t="s">
        <v>310</v>
      </c>
      <c r="G292" s="1" t="str">
        <f t="shared" si="8"/>
        <v>Randal</v>
      </c>
      <c r="H292" s="1" t="str">
        <f t="shared" si="9"/>
        <v>02</v>
      </c>
    </row>
    <row r="293" spans="1:8" x14ac:dyDescent="0.35">
      <c r="A293" s="2" t="s">
        <v>137</v>
      </c>
      <c r="B293" s="11">
        <v>2015</v>
      </c>
      <c r="C293" s="1">
        <v>1.2</v>
      </c>
      <c r="D293" s="1">
        <v>0.9</v>
      </c>
      <c r="E293" s="7" t="s">
        <v>183</v>
      </c>
      <c r="F293" s="7" t="s">
        <v>311</v>
      </c>
      <c r="G293" s="1" t="str">
        <f t="shared" si="8"/>
        <v>Edith</v>
      </c>
      <c r="H293" s="1" t="str">
        <f t="shared" si="9"/>
        <v>00</v>
      </c>
    </row>
    <row r="294" spans="1:8" x14ac:dyDescent="0.35">
      <c r="A294" s="2" t="s">
        <v>138</v>
      </c>
      <c r="B294" s="11">
        <v>2015</v>
      </c>
      <c r="C294" s="1">
        <v>0.9</v>
      </c>
      <c r="D294" s="1">
        <v>2.1</v>
      </c>
      <c r="E294" s="7" t="s">
        <v>183</v>
      </c>
      <c r="F294" s="7" t="s">
        <v>312</v>
      </c>
      <c r="G294" s="1" t="str">
        <f t="shared" si="8"/>
        <v>Teddy</v>
      </c>
      <c r="H294" s="1" t="str">
        <f t="shared" si="9"/>
        <v>02</v>
      </c>
    </row>
    <row r="295" spans="1:8" x14ac:dyDescent="0.35">
      <c r="A295" s="2" t="s">
        <v>139</v>
      </c>
      <c r="B295" s="11">
        <v>2015</v>
      </c>
      <c r="C295" s="1">
        <v>2</v>
      </c>
      <c r="D295" s="1">
        <v>1.6</v>
      </c>
      <c r="E295" s="7" t="s">
        <v>183</v>
      </c>
      <c r="F295" s="7" t="s">
        <v>313</v>
      </c>
      <c r="G295" s="1" t="str">
        <f t="shared" si="8"/>
        <v>Kim</v>
      </c>
      <c r="H295" s="1" t="str">
        <f t="shared" si="9"/>
        <v>20</v>
      </c>
    </row>
    <row r="296" spans="1:8" x14ac:dyDescent="0.35">
      <c r="A296" s="2" t="s">
        <v>140</v>
      </c>
      <c r="B296" s="11">
        <v>2015</v>
      </c>
      <c r="C296" s="1">
        <v>2.7</v>
      </c>
      <c r="D296" s="1">
        <v>1.8</v>
      </c>
      <c r="E296" s="7" t="s">
        <v>183</v>
      </c>
      <c r="F296" s="7" t="s">
        <v>314</v>
      </c>
      <c r="G296" s="1" t="str">
        <f t="shared" si="8"/>
        <v>Sherry</v>
      </c>
      <c r="H296" s="1" t="str">
        <f t="shared" si="9"/>
        <v>20</v>
      </c>
    </row>
    <row r="297" spans="1:8" x14ac:dyDescent="0.35">
      <c r="A297" s="2" t="s">
        <v>141</v>
      </c>
      <c r="B297" s="11">
        <v>2015</v>
      </c>
      <c r="C297" s="1">
        <v>1.2</v>
      </c>
      <c r="D297" s="1">
        <v>4.5</v>
      </c>
      <c r="E297" s="7" t="s">
        <v>183</v>
      </c>
      <c r="F297" s="7" t="s">
        <v>315</v>
      </c>
      <c r="G297" s="1" t="str">
        <f t="shared" si="8"/>
        <v>Salvador</v>
      </c>
      <c r="H297" s="1" t="str">
        <f t="shared" si="9"/>
        <v>04</v>
      </c>
    </row>
    <row r="298" spans="1:8" x14ac:dyDescent="0.35">
      <c r="A298" s="2" t="s">
        <v>142</v>
      </c>
      <c r="B298" s="11">
        <v>2015</v>
      </c>
      <c r="C298" s="1">
        <v>0.6</v>
      </c>
      <c r="D298" s="1">
        <v>1.9</v>
      </c>
      <c r="E298" s="7" t="s">
        <v>183</v>
      </c>
      <c r="F298" s="7" t="s">
        <v>316</v>
      </c>
      <c r="G298" s="1" t="str">
        <f t="shared" si="8"/>
        <v>Kirk</v>
      </c>
      <c r="H298" s="1" t="str">
        <f t="shared" si="9"/>
        <v>00</v>
      </c>
    </row>
    <row r="299" spans="1:8" x14ac:dyDescent="0.35">
      <c r="A299" s="2" t="s">
        <v>143</v>
      </c>
      <c r="B299" s="11">
        <v>2015</v>
      </c>
      <c r="C299" s="1">
        <v>2.2999999999999998</v>
      </c>
      <c r="D299" s="1">
        <v>1.7</v>
      </c>
      <c r="E299" s="7" t="s">
        <v>183</v>
      </c>
      <c r="F299" s="7" t="s">
        <v>317</v>
      </c>
      <c r="G299" s="1" t="str">
        <f t="shared" si="8"/>
        <v>Johnnie</v>
      </c>
      <c r="H299" s="1" t="str">
        <f t="shared" si="9"/>
        <v>20</v>
      </c>
    </row>
    <row r="300" spans="1:8" x14ac:dyDescent="0.35">
      <c r="A300" s="2" t="s">
        <v>144</v>
      </c>
      <c r="B300" s="11">
        <v>2015</v>
      </c>
      <c r="C300" s="1">
        <v>0.3</v>
      </c>
      <c r="D300" s="1">
        <v>0.5</v>
      </c>
      <c r="E300" s="7" t="s">
        <v>183</v>
      </c>
      <c r="F300" s="7" t="s">
        <v>318</v>
      </c>
      <c r="G300" s="1" t="str">
        <f t="shared" si="8"/>
        <v>Sidney</v>
      </c>
      <c r="H300" s="1" t="str">
        <f t="shared" si="9"/>
        <v>00</v>
      </c>
    </row>
    <row r="301" spans="1:8" x14ac:dyDescent="0.35">
      <c r="A301" s="2" t="s">
        <v>145</v>
      </c>
      <c r="B301" s="11">
        <v>2015</v>
      </c>
      <c r="C301" s="1">
        <v>3.4</v>
      </c>
      <c r="D301" s="1">
        <v>5</v>
      </c>
      <c r="E301" s="7" t="s">
        <v>183</v>
      </c>
      <c r="F301" s="7" t="s">
        <v>319</v>
      </c>
      <c r="G301" s="1" t="str">
        <f t="shared" si="8"/>
        <v>Grace</v>
      </c>
      <c r="H301" s="1" t="str">
        <f t="shared" si="9"/>
        <v>24</v>
      </c>
    </row>
    <row r="302" spans="1:8" x14ac:dyDescent="0.35">
      <c r="A302" s="2" t="s">
        <v>146</v>
      </c>
      <c r="B302" s="11">
        <v>2015</v>
      </c>
      <c r="C302" s="1">
        <v>2.2000000000000002</v>
      </c>
      <c r="D302" s="1">
        <v>0.9</v>
      </c>
      <c r="E302" s="7" t="s">
        <v>183</v>
      </c>
      <c r="F302" s="7" t="s">
        <v>320</v>
      </c>
      <c r="G302" s="1" t="str">
        <f t="shared" si="8"/>
        <v>Kristopher</v>
      </c>
      <c r="H302" s="1" t="str">
        <f t="shared" si="9"/>
        <v>20</v>
      </c>
    </row>
    <row r="303" spans="1:8" x14ac:dyDescent="0.35">
      <c r="A303" s="2" t="s">
        <v>147</v>
      </c>
      <c r="B303" s="11">
        <v>2015</v>
      </c>
      <c r="C303" s="1">
        <v>1</v>
      </c>
      <c r="D303" s="1">
        <v>4</v>
      </c>
      <c r="E303" s="7" t="s">
        <v>186</v>
      </c>
      <c r="F303" s="7" t="s">
        <v>321</v>
      </c>
      <c r="G303" s="1" t="str">
        <f t="shared" si="8"/>
        <v>Mack</v>
      </c>
      <c r="H303" s="1" t="str">
        <f t="shared" si="9"/>
        <v>04</v>
      </c>
    </row>
    <row r="304" spans="1:8" x14ac:dyDescent="0.35">
      <c r="A304" s="2" t="s">
        <v>148</v>
      </c>
      <c r="B304" s="11">
        <v>2015</v>
      </c>
      <c r="C304" s="1">
        <v>2.9</v>
      </c>
      <c r="D304" s="1">
        <v>1.4</v>
      </c>
      <c r="E304" s="7" t="s">
        <v>186</v>
      </c>
      <c r="F304" s="7" t="s">
        <v>322</v>
      </c>
      <c r="G304" s="1" t="str">
        <f t="shared" si="8"/>
        <v>Gilberto</v>
      </c>
      <c r="H304" s="1" t="str">
        <f t="shared" si="9"/>
        <v>20</v>
      </c>
    </row>
    <row r="305" spans="1:8" x14ac:dyDescent="0.35">
      <c r="A305" s="2" t="s">
        <v>149</v>
      </c>
      <c r="B305" s="11">
        <v>2015</v>
      </c>
      <c r="C305" s="1">
        <v>3.1</v>
      </c>
      <c r="D305" s="1">
        <v>0.9</v>
      </c>
      <c r="E305" s="7" t="s">
        <v>186</v>
      </c>
      <c r="F305" s="7" t="s">
        <v>323</v>
      </c>
      <c r="G305" s="1" t="str">
        <f t="shared" si="8"/>
        <v>Dallas</v>
      </c>
      <c r="H305" s="1" t="str">
        <f t="shared" si="9"/>
        <v>20</v>
      </c>
    </row>
    <row r="306" spans="1:8" x14ac:dyDescent="0.35">
      <c r="A306" s="2" t="s">
        <v>150</v>
      </c>
      <c r="B306" s="11">
        <v>2015</v>
      </c>
      <c r="C306" s="1">
        <v>0.2</v>
      </c>
      <c r="D306" s="1">
        <v>1.2</v>
      </c>
      <c r="E306" s="7" t="s">
        <v>186</v>
      </c>
      <c r="F306" s="7" t="s">
        <v>324</v>
      </c>
      <c r="G306" s="1" t="str">
        <f t="shared" si="8"/>
        <v>Dewey</v>
      </c>
      <c r="H306" s="1" t="str">
        <f t="shared" si="9"/>
        <v>00</v>
      </c>
    </row>
    <row r="307" spans="1:8" x14ac:dyDescent="0.35">
      <c r="A307" s="2" t="s">
        <v>151</v>
      </c>
      <c r="B307" s="11">
        <v>2015</v>
      </c>
      <c r="C307" s="1">
        <v>2.9</v>
      </c>
      <c r="D307" s="1">
        <v>3.2</v>
      </c>
      <c r="E307" s="7" t="s">
        <v>186</v>
      </c>
      <c r="F307" s="7" t="s">
        <v>325</v>
      </c>
      <c r="G307" s="1" t="str">
        <f t="shared" si="8"/>
        <v>Clint</v>
      </c>
      <c r="H307" s="1" t="str">
        <f t="shared" si="9"/>
        <v>22</v>
      </c>
    </row>
    <row r="308" spans="1:8" x14ac:dyDescent="0.35">
      <c r="A308" s="2" t="s">
        <v>152</v>
      </c>
      <c r="B308" s="11">
        <v>2015</v>
      </c>
      <c r="C308" s="1">
        <v>2.2000000000000002</v>
      </c>
      <c r="D308" s="1">
        <v>2.2999999999999998</v>
      </c>
      <c r="E308" s="7" t="s">
        <v>186</v>
      </c>
      <c r="F308" s="7" t="s">
        <v>326</v>
      </c>
      <c r="G308" s="1" t="str">
        <f t="shared" si="8"/>
        <v>Nicolas</v>
      </c>
      <c r="H308" s="1" t="str">
        <f t="shared" si="9"/>
        <v>22</v>
      </c>
    </row>
    <row r="309" spans="1:8" x14ac:dyDescent="0.35">
      <c r="A309" s="2" t="s">
        <v>153</v>
      </c>
      <c r="B309" s="11">
        <v>2015</v>
      </c>
      <c r="C309" s="1">
        <v>2.2999999999999998</v>
      </c>
      <c r="D309" s="1">
        <v>2.2000000000000002</v>
      </c>
      <c r="E309" s="7" t="s">
        <v>186</v>
      </c>
      <c r="F309" s="7" t="s">
        <v>327</v>
      </c>
      <c r="G309" s="1" t="str">
        <f t="shared" si="8"/>
        <v>Laurence</v>
      </c>
      <c r="H309" s="1" t="str">
        <f t="shared" si="9"/>
        <v>22</v>
      </c>
    </row>
    <row r="310" spans="1:8" x14ac:dyDescent="0.35">
      <c r="A310" s="2" t="s">
        <v>154</v>
      </c>
      <c r="B310" s="11">
        <v>2015</v>
      </c>
      <c r="C310" s="1">
        <v>1.9</v>
      </c>
      <c r="D310" s="1">
        <v>1.2</v>
      </c>
      <c r="E310" s="7" t="s">
        <v>186</v>
      </c>
      <c r="F310" s="7" t="s">
        <v>328</v>
      </c>
      <c r="G310" s="1" t="str">
        <f t="shared" si="8"/>
        <v>Ismael</v>
      </c>
      <c r="H310" s="1" t="str">
        <f t="shared" si="9"/>
        <v>00</v>
      </c>
    </row>
    <row r="311" spans="1:8" x14ac:dyDescent="0.35">
      <c r="A311" s="2" t="s">
        <v>155</v>
      </c>
      <c r="B311" s="11">
        <v>2015</v>
      </c>
      <c r="C311" s="1">
        <v>2.2000000000000002</v>
      </c>
      <c r="D311" s="1">
        <v>4.0999999999999996</v>
      </c>
      <c r="E311" s="7" t="s">
        <v>186</v>
      </c>
      <c r="F311" s="7" t="s">
        <v>329</v>
      </c>
      <c r="G311" s="1" t="str">
        <f t="shared" si="8"/>
        <v>Orville</v>
      </c>
      <c r="H311" s="1" t="str">
        <f t="shared" si="9"/>
        <v>24</v>
      </c>
    </row>
    <row r="312" spans="1:8" x14ac:dyDescent="0.35">
      <c r="A312" s="2" t="s">
        <v>156</v>
      </c>
      <c r="B312" s="11">
        <v>2015</v>
      </c>
      <c r="C312" s="1">
        <v>3.9</v>
      </c>
      <c r="D312" s="1">
        <v>4.7</v>
      </c>
      <c r="E312" s="7" t="s">
        <v>186</v>
      </c>
      <c r="F312" s="7" t="s">
        <v>330</v>
      </c>
      <c r="G312" s="1" t="str">
        <f t="shared" si="8"/>
        <v>Drew</v>
      </c>
      <c r="H312" s="1" t="str">
        <f t="shared" si="9"/>
        <v>24</v>
      </c>
    </row>
    <row r="313" spans="1:8" x14ac:dyDescent="0.35">
      <c r="A313" s="2" t="s">
        <v>157</v>
      </c>
      <c r="B313" s="11">
        <v>2015</v>
      </c>
      <c r="C313" s="1">
        <v>3.6</v>
      </c>
      <c r="D313" s="1">
        <v>3.8</v>
      </c>
      <c r="E313" s="7" t="s">
        <v>186</v>
      </c>
      <c r="F313" s="7" t="s">
        <v>331</v>
      </c>
      <c r="G313" s="1" t="str">
        <f t="shared" si="8"/>
        <v>Jody</v>
      </c>
      <c r="H313" s="1" t="str">
        <f t="shared" si="9"/>
        <v>22</v>
      </c>
    </row>
    <row r="314" spans="1:8" x14ac:dyDescent="0.35">
      <c r="A314" s="2" t="s">
        <v>158</v>
      </c>
      <c r="B314" s="11">
        <v>2015</v>
      </c>
      <c r="C314" s="1">
        <v>2.6</v>
      </c>
      <c r="D314" s="1">
        <v>4.2</v>
      </c>
      <c r="E314" s="7" t="s">
        <v>186</v>
      </c>
      <c r="F314" s="7" t="s">
        <v>332</v>
      </c>
      <c r="G314" s="1" t="str">
        <f t="shared" si="8"/>
        <v>Ervin</v>
      </c>
      <c r="H314" s="1" t="str">
        <f t="shared" si="9"/>
        <v>24</v>
      </c>
    </row>
    <row r="315" spans="1:8" x14ac:dyDescent="0.35">
      <c r="A315" s="2" t="s">
        <v>159</v>
      </c>
      <c r="B315" s="11">
        <v>2015</v>
      </c>
      <c r="C315" s="1">
        <v>4.5</v>
      </c>
      <c r="D315" s="1">
        <v>2.7</v>
      </c>
      <c r="E315" s="7" t="s">
        <v>183</v>
      </c>
      <c r="F315" s="7" t="s">
        <v>333</v>
      </c>
      <c r="G315" s="1" t="str">
        <f t="shared" si="8"/>
        <v>WALLY</v>
      </c>
      <c r="H315" s="1" t="str">
        <f t="shared" si="9"/>
        <v>42</v>
      </c>
    </row>
    <row r="316" spans="1:8" x14ac:dyDescent="0.35">
      <c r="A316" s="2" t="s">
        <v>160</v>
      </c>
      <c r="B316" s="11">
        <v>2015</v>
      </c>
      <c r="C316" s="1">
        <v>0.7</v>
      </c>
      <c r="D316" s="1">
        <v>4.7</v>
      </c>
      <c r="E316" s="7" t="s">
        <v>183</v>
      </c>
      <c r="F316" s="7" t="s">
        <v>334</v>
      </c>
      <c r="G316" s="1" t="str">
        <f t="shared" si="8"/>
        <v>Wendy</v>
      </c>
      <c r="H316" s="1" t="str">
        <f t="shared" si="9"/>
        <v>04</v>
      </c>
    </row>
    <row r="317" spans="1:8" x14ac:dyDescent="0.35">
      <c r="A317" s="2" t="s">
        <v>161</v>
      </c>
      <c r="B317" s="11">
        <v>2015</v>
      </c>
      <c r="C317" s="1">
        <v>2.8</v>
      </c>
      <c r="D317" s="1">
        <v>1.4</v>
      </c>
      <c r="E317" s="7" t="s">
        <v>183</v>
      </c>
      <c r="F317" s="7" t="s">
        <v>335</v>
      </c>
      <c r="G317" s="1" t="str">
        <f t="shared" si="8"/>
        <v>Emil</v>
      </c>
      <c r="H317" s="1" t="str">
        <f t="shared" si="9"/>
        <v>20</v>
      </c>
    </row>
    <row r="318" spans="1:8" x14ac:dyDescent="0.35">
      <c r="A318" s="2" t="s">
        <v>162</v>
      </c>
      <c r="B318" s="11">
        <v>2015</v>
      </c>
      <c r="C318" s="1">
        <v>1.9</v>
      </c>
      <c r="D318" s="1">
        <v>2.2999999999999998</v>
      </c>
      <c r="E318" s="7" t="s">
        <v>181</v>
      </c>
      <c r="F318" s="7" t="s">
        <v>336</v>
      </c>
      <c r="G318" s="1" t="str">
        <f t="shared" si="8"/>
        <v>Emmanuel</v>
      </c>
      <c r="H318" s="1" t="str">
        <f t="shared" si="9"/>
        <v>02</v>
      </c>
    </row>
    <row r="319" spans="1:8" x14ac:dyDescent="0.35">
      <c r="A319" s="2" t="s">
        <v>163</v>
      </c>
      <c r="B319" s="11">
        <v>2015</v>
      </c>
      <c r="C319" s="1">
        <v>1.9</v>
      </c>
      <c r="D319" s="1">
        <v>4</v>
      </c>
      <c r="E319" s="7" t="s">
        <v>181</v>
      </c>
      <c r="F319" s="7" t="s">
        <v>337</v>
      </c>
      <c r="G319" s="1" t="str">
        <f t="shared" si="8"/>
        <v>Roberta</v>
      </c>
      <c r="H319" s="1" t="str">
        <f t="shared" si="9"/>
        <v>04</v>
      </c>
    </row>
    <row r="320" spans="1:8" x14ac:dyDescent="0.35">
      <c r="A320" s="2" t="s">
        <v>164</v>
      </c>
      <c r="B320" s="11">
        <v>2015</v>
      </c>
      <c r="C320" s="1">
        <v>4.5</v>
      </c>
      <c r="D320" s="1">
        <v>1.6</v>
      </c>
      <c r="E320" s="7" t="s">
        <v>183</v>
      </c>
      <c r="F320" s="7" t="s">
        <v>338</v>
      </c>
      <c r="G320" s="1" t="str">
        <f t="shared" si="8"/>
        <v>Kristen</v>
      </c>
      <c r="H320" s="1" t="str">
        <f t="shared" si="9"/>
        <v>40</v>
      </c>
    </row>
    <row r="321" spans="1:8" x14ac:dyDescent="0.35">
      <c r="A321" s="2" t="s">
        <v>165</v>
      </c>
      <c r="B321" s="11">
        <v>2015</v>
      </c>
      <c r="C321" s="1">
        <v>0.2</v>
      </c>
      <c r="D321" s="1">
        <v>3.1</v>
      </c>
      <c r="E321" s="7" t="s">
        <v>183</v>
      </c>
      <c r="F321" s="7" t="s">
        <v>339</v>
      </c>
      <c r="G321" s="1" t="str">
        <f t="shared" si="8"/>
        <v>Heath</v>
      </c>
      <c r="H321" s="1" t="str">
        <f t="shared" si="9"/>
        <v>02</v>
      </c>
    </row>
    <row r="322" spans="1:8" x14ac:dyDescent="0.35">
      <c r="A322" s="2" t="s">
        <v>166</v>
      </c>
      <c r="B322" s="11">
        <v>2015</v>
      </c>
      <c r="C322" s="1">
        <v>1.1000000000000001</v>
      </c>
      <c r="D322" s="1">
        <v>0.6</v>
      </c>
      <c r="E322" s="7" t="s">
        <v>186</v>
      </c>
      <c r="F322" s="7" t="s">
        <v>340</v>
      </c>
      <c r="G322" s="1" t="str">
        <f t="shared" ref="G322:G385" si="10">LEFT(F322,FIND(" ",F322)-1)</f>
        <v>Sylvia</v>
      </c>
      <c r="H322" s="1" t="str">
        <f t="shared" ref="H322:H385" si="11">FLOOR(C322,2)&amp;FLOOR(D322,2)</f>
        <v>00</v>
      </c>
    </row>
    <row r="323" spans="1:8" x14ac:dyDescent="0.35">
      <c r="A323" s="2" t="s">
        <v>167</v>
      </c>
      <c r="B323" s="11">
        <v>2015</v>
      </c>
      <c r="C323" s="1">
        <v>3</v>
      </c>
      <c r="D323" s="1">
        <v>0.9</v>
      </c>
      <c r="E323" s="7" t="s">
        <v>183</v>
      </c>
      <c r="F323" s="7" t="s">
        <v>341</v>
      </c>
      <c r="G323" s="1" t="str">
        <f t="shared" si="10"/>
        <v>Sergio</v>
      </c>
      <c r="H323" s="1" t="str">
        <f t="shared" si="11"/>
        <v>20</v>
      </c>
    </row>
    <row r="324" spans="1:8" x14ac:dyDescent="0.35">
      <c r="A324" s="2" t="s">
        <v>168</v>
      </c>
      <c r="B324" s="11">
        <v>2015</v>
      </c>
      <c r="C324" s="1">
        <v>1.8</v>
      </c>
      <c r="D324" s="1">
        <v>5</v>
      </c>
      <c r="E324" s="7" t="s">
        <v>183</v>
      </c>
      <c r="F324" s="7" t="s">
        <v>342</v>
      </c>
      <c r="G324" s="1" t="str">
        <f t="shared" si="10"/>
        <v>Sammy</v>
      </c>
      <c r="H324" s="1" t="str">
        <f t="shared" si="11"/>
        <v>04</v>
      </c>
    </row>
    <row r="325" spans="1:8" x14ac:dyDescent="0.35">
      <c r="A325" s="2" t="s">
        <v>169</v>
      </c>
      <c r="B325" s="11">
        <v>2015</v>
      </c>
      <c r="C325" s="1">
        <v>0.9</v>
      </c>
      <c r="D325" s="1">
        <v>2.5</v>
      </c>
      <c r="E325" s="7" t="s">
        <v>186</v>
      </c>
      <c r="F325" s="7" t="s">
        <v>343</v>
      </c>
      <c r="G325" s="1" t="str">
        <f t="shared" si="10"/>
        <v>Ellis</v>
      </c>
      <c r="H325" s="1" t="str">
        <f t="shared" si="11"/>
        <v>02</v>
      </c>
    </row>
    <row r="326" spans="1:8" x14ac:dyDescent="0.35">
      <c r="A326" s="2" t="s">
        <v>170</v>
      </c>
      <c r="B326" s="11">
        <v>2015</v>
      </c>
      <c r="C326" s="1">
        <v>2.1</v>
      </c>
      <c r="D326" s="1">
        <v>3.9</v>
      </c>
      <c r="E326" s="7" t="s">
        <v>186</v>
      </c>
      <c r="F326" s="7" t="s">
        <v>344</v>
      </c>
      <c r="G326" s="1" t="str">
        <f t="shared" si="10"/>
        <v>Hugo</v>
      </c>
      <c r="H326" s="1" t="str">
        <f t="shared" si="11"/>
        <v>22</v>
      </c>
    </row>
    <row r="327" spans="1:8" x14ac:dyDescent="0.35">
      <c r="A327" s="2" t="s">
        <v>171</v>
      </c>
      <c r="B327" s="11">
        <v>2015</v>
      </c>
      <c r="C327" s="1">
        <v>3.7</v>
      </c>
      <c r="D327" s="1">
        <v>2.5</v>
      </c>
      <c r="E327" s="7" t="s">
        <v>186</v>
      </c>
      <c r="F327" s="7" t="s">
        <v>345</v>
      </c>
      <c r="G327" s="1" t="str">
        <f t="shared" si="10"/>
        <v>Caleb</v>
      </c>
      <c r="H327" s="1" t="str">
        <f t="shared" si="11"/>
        <v>22</v>
      </c>
    </row>
    <row r="328" spans="1:8" x14ac:dyDescent="0.35">
      <c r="A328" s="2" t="s">
        <v>172</v>
      </c>
      <c r="B328" s="11">
        <v>2015</v>
      </c>
      <c r="C328" s="1">
        <v>4.0999999999999996</v>
      </c>
      <c r="D328" s="1">
        <v>1.6</v>
      </c>
      <c r="E328" s="7" t="s">
        <v>186</v>
      </c>
      <c r="F328" s="7" t="s">
        <v>346</v>
      </c>
      <c r="G328" s="1" t="str">
        <f t="shared" si="10"/>
        <v>Tomas</v>
      </c>
      <c r="H328" s="1" t="str">
        <f t="shared" si="11"/>
        <v>40</v>
      </c>
    </row>
    <row r="329" spans="1:8" x14ac:dyDescent="0.35">
      <c r="A329" s="2" t="s">
        <v>173</v>
      </c>
      <c r="B329" s="11">
        <v>2015</v>
      </c>
      <c r="C329" s="1">
        <v>1.1000000000000001</v>
      </c>
      <c r="D329" s="1">
        <v>0.8</v>
      </c>
      <c r="E329" s="7" t="s">
        <v>183</v>
      </c>
      <c r="F329" s="7" t="s">
        <v>347</v>
      </c>
      <c r="G329" s="1" t="str">
        <f t="shared" si="10"/>
        <v>Melanie</v>
      </c>
      <c r="H329" s="1" t="str">
        <f t="shared" si="11"/>
        <v>00</v>
      </c>
    </row>
    <row r="330" spans="1:8" x14ac:dyDescent="0.35">
      <c r="A330" s="2" t="s">
        <v>174</v>
      </c>
      <c r="B330" s="11">
        <v>2015</v>
      </c>
      <c r="C330" s="1">
        <v>3.7</v>
      </c>
      <c r="D330" s="1">
        <v>2</v>
      </c>
      <c r="E330" s="7" t="s">
        <v>183</v>
      </c>
      <c r="F330" s="7" t="s">
        <v>348</v>
      </c>
      <c r="G330" s="1" t="str">
        <f t="shared" si="10"/>
        <v>Marlon</v>
      </c>
      <c r="H330" s="1" t="str">
        <f t="shared" si="11"/>
        <v>22</v>
      </c>
    </row>
    <row r="331" spans="1:8" x14ac:dyDescent="0.35">
      <c r="A331" s="2" t="s">
        <v>175</v>
      </c>
      <c r="B331" s="11">
        <v>2015</v>
      </c>
      <c r="C331" s="1">
        <v>0.3</v>
      </c>
      <c r="D331" s="1">
        <v>1.6</v>
      </c>
      <c r="E331" s="7" t="s">
        <v>183</v>
      </c>
      <c r="F331" s="7" t="s">
        <v>349</v>
      </c>
      <c r="G331" s="1" t="str">
        <f t="shared" si="10"/>
        <v>Jerald</v>
      </c>
      <c r="H331" s="1" t="str">
        <f t="shared" si="11"/>
        <v>00</v>
      </c>
    </row>
    <row r="332" spans="1:8" x14ac:dyDescent="0.35">
      <c r="A332" s="2" t="s">
        <v>176</v>
      </c>
      <c r="B332" s="11">
        <v>2015</v>
      </c>
      <c r="C332" s="1">
        <v>0.6</v>
      </c>
      <c r="D332" s="1">
        <v>3.5</v>
      </c>
      <c r="E332" s="7" t="s">
        <v>186</v>
      </c>
      <c r="F332" s="7" t="s">
        <v>350</v>
      </c>
      <c r="G332" s="1" t="str">
        <f t="shared" si="10"/>
        <v>Timmy</v>
      </c>
      <c r="H332" s="1" t="str">
        <f t="shared" si="11"/>
        <v>02</v>
      </c>
    </row>
    <row r="333" spans="1:8" x14ac:dyDescent="0.35">
      <c r="A333" s="2" t="s">
        <v>177</v>
      </c>
      <c r="B333" s="11">
        <v>2015</v>
      </c>
      <c r="C333" s="1">
        <v>2.4</v>
      </c>
      <c r="D333" s="1">
        <v>1.1000000000000001</v>
      </c>
      <c r="E333" s="7" t="s">
        <v>183</v>
      </c>
      <c r="F333" s="7" t="s">
        <v>351</v>
      </c>
      <c r="G333" s="1" t="str">
        <f t="shared" si="10"/>
        <v>Perry</v>
      </c>
      <c r="H333" s="1" t="str">
        <f t="shared" si="11"/>
        <v>20</v>
      </c>
    </row>
    <row r="334" spans="1:8" x14ac:dyDescent="0.35">
      <c r="A334" s="2" t="s">
        <v>3</v>
      </c>
      <c r="B334" s="11">
        <v>2014</v>
      </c>
      <c r="C334" s="1">
        <v>1.4</v>
      </c>
      <c r="D334" s="1">
        <v>3</v>
      </c>
      <c r="E334" s="7" t="s">
        <v>181</v>
      </c>
      <c r="F334" s="7" t="s">
        <v>182</v>
      </c>
      <c r="G334" s="1" t="str">
        <f t="shared" si="10"/>
        <v>Rufus</v>
      </c>
      <c r="H334" s="1" t="str">
        <f t="shared" si="11"/>
        <v>02</v>
      </c>
    </row>
    <row r="335" spans="1:8" x14ac:dyDescent="0.35">
      <c r="A335" s="2" t="s">
        <v>6</v>
      </c>
      <c r="B335" s="11">
        <v>2014</v>
      </c>
      <c r="C335" s="1">
        <v>3.7</v>
      </c>
      <c r="D335" s="1">
        <v>1.2</v>
      </c>
      <c r="E335" s="7" t="s">
        <v>183</v>
      </c>
      <c r="F335" s="7" t="s">
        <v>184</v>
      </c>
      <c r="G335" s="1" t="str">
        <f t="shared" si="10"/>
        <v>Woodrow</v>
      </c>
      <c r="H335" s="1" t="str">
        <f t="shared" si="11"/>
        <v>20</v>
      </c>
    </row>
    <row r="336" spans="1:8" x14ac:dyDescent="0.35">
      <c r="A336" s="2" t="s">
        <v>8</v>
      </c>
      <c r="B336" s="11">
        <v>2014</v>
      </c>
      <c r="C336" s="1">
        <v>0.5</v>
      </c>
      <c r="D336" s="1">
        <v>2.5</v>
      </c>
      <c r="E336" s="7" t="s">
        <v>183</v>
      </c>
      <c r="F336" s="7" t="s">
        <v>185</v>
      </c>
      <c r="G336" s="1" t="str">
        <f t="shared" si="10"/>
        <v>Leland</v>
      </c>
      <c r="H336" s="1" t="str">
        <f t="shared" si="11"/>
        <v>02</v>
      </c>
    </row>
    <row r="337" spans="1:8" x14ac:dyDescent="0.35">
      <c r="A337" s="2" t="s">
        <v>10</v>
      </c>
      <c r="B337" s="11">
        <v>2014</v>
      </c>
      <c r="C337" s="1">
        <v>1.2</v>
      </c>
      <c r="D337" s="1">
        <v>1.7</v>
      </c>
      <c r="E337" s="7" t="s">
        <v>186</v>
      </c>
      <c r="F337" s="7" t="s">
        <v>187</v>
      </c>
      <c r="G337" s="1" t="str">
        <f t="shared" si="10"/>
        <v>Levi</v>
      </c>
      <c r="H337" s="1" t="str">
        <f t="shared" si="11"/>
        <v>00</v>
      </c>
    </row>
    <row r="338" spans="1:8" x14ac:dyDescent="0.35">
      <c r="A338" s="2" t="s">
        <v>12</v>
      </c>
      <c r="B338" s="11">
        <v>2014</v>
      </c>
      <c r="C338" s="1">
        <v>4.5999999999999996</v>
      </c>
      <c r="D338" s="1">
        <v>1.8</v>
      </c>
      <c r="E338" s="7" t="s">
        <v>186</v>
      </c>
      <c r="F338" s="7" t="s">
        <v>188</v>
      </c>
      <c r="G338" s="1" t="str">
        <f t="shared" si="10"/>
        <v>Marcos</v>
      </c>
      <c r="H338" s="1" t="str">
        <f t="shared" si="11"/>
        <v>40</v>
      </c>
    </row>
    <row r="339" spans="1:8" x14ac:dyDescent="0.35">
      <c r="A339" s="2" t="s">
        <v>14</v>
      </c>
      <c r="B339" s="11">
        <v>2014</v>
      </c>
      <c r="C339" s="1">
        <v>4.5999999999999996</v>
      </c>
      <c r="D339" s="1">
        <v>0.6</v>
      </c>
      <c r="E339" s="7" t="s">
        <v>186</v>
      </c>
      <c r="F339" s="7" t="s">
        <v>189</v>
      </c>
      <c r="G339" s="1" t="str">
        <f t="shared" si="10"/>
        <v>Al</v>
      </c>
      <c r="H339" s="1" t="str">
        <f t="shared" si="11"/>
        <v>40</v>
      </c>
    </row>
    <row r="340" spans="1:8" x14ac:dyDescent="0.35">
      <c r="A340" s="2" t="s">
        <v>16</v>
      </c>
      <c r="B340" s="11">
        <v>2014</v>
      </c>
      <c r="C340" s="1">
        <v>5</v>
      </c>
      <c r="D340" s="1">
        <v>0.6</v>
      </c>
      <c r="E340" s="7" t="s">
        <v>186</v>
      </c>
      <c r="F340" s="7" t="s">
        <v>190</v>
      </c>
      <c r="G340" s="1" t="str">
        <f t="shared" si="10"/>
        <v>Gustavo</v>
      </c>
      <c r="H340" s="1" t="str">
        <f t="shared" si="11"/>
        <v>40</v>
      </c>
    </row>
    <row r="341" spans="1:8" x14ac:dyDescent="0.35">
      <c r="A341" s="2" t="s">
        <v>18</v>
      </c>
      <c r="B341" s="11">
        <v>2014</v>
      </c>
      <c r="C341" s="1">
        <v>3.1</v>
      </c>
      <c r="D341" s="1">
        <v>1.9</v>
      </c>
      <c r="E341" s="7" t="s">
        <v>186</v>
      </c>
      <c r="F341" s="7" t="s">
        <v>191</v>
      </c>
      <c r="G341" s="1" t="str">
        <f t="shared" si="10"/>
        <v>Jake</v>
      </c>
      <c r="H341" s="1" t="str">
        <f t="shared" si="11"/>
        <v>20</v>
      </c>
    </row>
    <row r="342" spans="1:8" x14ac:dyDescent="0.35">
      <c r="A342" s="2" t="s">
        <v>19</v>
      </c>
      <c r="B342" s="11">
        <v>2014</v>
      </c>
      <c r="C342" s="1">
        <v>1.5</v>
      </c>
      <c r="D342" s="1">
        <v>0.5</v>
      </c>
      <c r="E342" s="7" t="s">
        <v>186</v>
      </c>
      <c r="F342" s="7" t="s">
        <v>192</v>
      </c>
      <c r="G342" s="1" t="str">
        <f t="shared" si="10"/>
        <v>Lionel</v>
      </c>
      <c r="H342" s="1" t="str">
        <f t="shared" si="11"/>
        <v>00</v>
      </c>
    </row>
    <row r="343" spans="1:8" x14ac:dyDescent="0.35">
      <c r="A343" s="2" t="s">
        <v>20</v>
      </c>
      <c r="B343" s="11">
        <v>2014</v>
      </c>
      <c r="C343" s="1">
        <v>5</v>
      </c>
      <c r="D343" s="1">
        <v>2</v>
      </c>
      <c r="E343" s="7" t="s">
        <v>186</v>
      </c>
      <c r="F343" s="7" t="s">
        <v>193</v>
      </c>
      <c r="G343" s="1" t="str">
        <f t="shared" si="10"/>
        <v>Marty</v>
      </c>
      <c r="H343" s="1" t="str">
        <f t="shared" si="11"/>
        <v>42</v>
      </c>
    </row>
    <row r="344" spans="1:8" x14ac:dyDescent="0.35">
      <c r="A344" s="2" t="s">
        <v>21</v>
      </c>
      <c r="B344" s="11">
        <v>2014</v>
      </c>
      <c r="C344" s="1">
        <v>4.8</v>
      </c>
      <c r="D344" s="1">
        <v>1.8</v>
      </c>
      <c r="E344" s="7" t="s">
        <v>186</v>
      </c>
      <c r="F344" s="7" t="s">
        <v>194</v>
      </c>
      <c r="G344" s="1" t="str">
        <f t="shared" si="10"/>
        <v>Darrel</v>
      </c>
      <c r="H344" s="1" t="str">
        <f t="shared" si="11"/>
        <v>40</v>
      </c>
    </row>
    <row r="345" spans="1:8" x14ac:dyDescent="0.35">
      <c r="A345" s="2" t="s">
        <v>22</v>
      </c>
      <c r="B345" s="11">
        <v>2014</v>
      </c>
      <c r="C345" s="1">
        <v>2.7</v>
      </c>
      <c r="D345" s="1">
        <v>3.6</v>
      </c>
      <c r="E345" s="7" t="s">
        <v>195</v>
      </c>
      <c r="F345" s="7" t="s">
        <v>196</v>
      </c>
      <c r="G345" s="1" t="str">
        <f t="shared" si="10"/>
        <v>Isaac</v>
      </c>
      <c r="H345" s="1" t="str">
        <f t="shared" si="11"/>
        <v>22</v>
      </c>
    </row>
    <row r="346" spans="1:8" x14ac:dyDescent="0.35">
      <c r="A346" s="2" t="s">
        <v>24</v>
      </c>
      <c r="B346" s="11">
        <v>2014</v>
      </c>
      <c r="C346" s="1">
        <v>1.8</v>
      </c>
      <c r="D346" s="1">
        <v>2.2000000000000002</v>
      </c>
      <c r="E346" s="7" t="s">
        <v>181</v>
      </c>
      <c r="F346" s="7" t="s">
        <v>197</v>
      </c>
      <c r="G346" s="1" t="str">
        <f t="shared" si="10"/>
        <v>Cleveland</v>
      </c>
      <c r="H346" s="1" t="str">
        <f t="shared" si="11"/>
        <v>02</v>
      </c>
    </row>
    <row r="347" spans="1:8" x14ac:dyDescent="0.35">
      <c r="A347" s="2" t="s">
        <v>25</v>
      </c>
      <c r="B347" s="11">
        <v>2014</v>
      </c>
      <c r="C347" s="1">
        <v>3.9</v>
      </c>
      <c r="D347" s="1">
        <v>2.8</v>
      </c>
      <c r="E347" s="7" t="s">
        <v>186</v>
      </c>
      <c r="F347" s="7" t="s">
        <v>198</v>
      </c>
      <c r="G347" s="1" t="str">
        <f t="shared" si="10"/>
        <v>Sheldon</v>
      </c>
      <c r="H347" s="1" t="str">
        <f t="shared" si="11"/>
        <v>22</v>
      </c>
    </row>
    <row r="348" spans="1:8" x14ac:dyDescent="0.35">
      <c r="A348" s="2" t="s">
        <v>26</v>
      </c>
      <c r="B348" s="11">
        <v>2014</v>
      </c>
      <c r="C348" s="1">
        <v>1.4</v>
      </c>
      <c r="D348" s="1">
        <v>3.4</v>
      </c>
      <c r="E348" s="7" t="s">
        <v>186</v>
      </c>
      <c r="F348" s="7" t="s">
        <v>199</v>
      </c>
      <c r="G348" s="1" t="str">
        <f t="shared" si="10"/>
        <v>Erick</v>
      </c>
      <c r="H348" s="1" t="str">
        <f t="shared" si="11"/>
        <v>02</v>
      </c>
    </row>
    <row r="349" spans="1:8" x14ac:dyDescent="0.35">
      <c r="A349" s="2" t="s">
        <v>27</v>
      </c>
      <c r="B349" s="11">
        <v>2014</v>
      </c>
      <c r="C349" s="1">
        <v>2.7</v>
      </c>
      <c r="D349" s="1">
        <v>2.7</v>
      </c>
      <c r="E349" s="7" t="s">
        <v>181</v>
      </c>
      <c r="F349" s="7" t="s">
        <v>200</v>
      </c>
      <c r="G349" s="1" t="str">
        <f t="shared" si="10"/>
        <v>Lamont</v>
      </c>
      <c r="H349" s="1" t="str">
        <f t="shared" si="11"/>
        <v>22</v>
      </c>
    </row>
    <row r="350" spans="1:8" x14ac:dyDescent="0.35">
      <c r="A350" s="2" t="s">
        <v>28</v>
      </c>
      <c r="B350" s="11">
        <v>2014</v>
      </c>
      <c r="C350" s="1">
        <v>2.7</v>
      </c>
      <c r="D350" s="1">
        <v>2.1</v>
      </c>
      <c r="E350" s="7" t="s">
        <v>186</v>
      </c>
      <c r="F350" s="7" t="s">
        <v>201</v>
      </c>
      <c r="G350" s="1" t="str">
        <f t="shared" si="10"/>
        <v>Doyle</v>
      </c>
      <c r="H350" s="1" t="str">
        <f t="shared" si="11"/>
        <v>22</v>
      </c>
    </row>
    <row r="351" spans="1:8" x14ac:dyDescent="0.35">
      <c r="A351" s="2" t="s">
        <v>29</v>
      </c>
      <c r="B351" s="11">
        <v>2014</v>
      </c>
      <c r="C351" s="1">
        <v>0.6</v>
      </c>
      <c r="D351" s="1">
        <v>3</v>
      </c>
      <c r="E351" s="7" t="s">
        <v>186</v>
      </c>
      <c r="F351" s="7" t="s">
        <v>202</v>
      </c>
      <c r="G351" s="1" t="str">
        <f t="shared" si="10"/>
        <v>Dexter</v>
      </c>
      <c r="H351" s="1" t="str">
        <f t="shared" si="11"/>
        <v>02</v>
      </c>
    </row>
    <row r="352" spans="1:8" x14ac:dyDescent="0.35">
      <c r="A352" s="2" t="s">
        <v>30</v>
      </c>
      <c r="B352" s="11">
        <v>2014</v>
      </c>
      <c r="C352" s="1">
        <v>2.8</v>
      </c>
      <c r="D352" s="1">
        <v>3.9</v>
      </c>
      <c r="E352" s="7" t="s">
        <v>186</v>
      </c>
      <c r="F352" s="7" t="s">
        <v>203</v>
      </c>
      <c r="G352" s="1" t="str">
        <f t="shared" si="10"/>
        <v>Stewart</v>
      </c>
      <c r="H352" s="1" t="str">
        <f t="shared" si="11"/>
        <v>22</v>
      </c>
    </row>
    <row r="353" spans="1:8" x14ac:dyDescent="0.35">
      <c r="A353" s="2" t="s">
        <v>31</v>
      </c>
      <c r="B353" s="11">
        <v>2014</v>
      </c>
      <c r="C353" s="1">
        <v>2</v>
      </c>
      <c r="D353" s="1">
        <v>2.2999999999999998</v>
      </c>
      <c r="E353" s="7" t="s">
        <v>183</v>
      </c>
      <c r="F353" s="7" t="s">
        <v>204</v>
      </c>
      <c r="G353" s="1" t="str">
        <f t="shared" si="10"/>
        <v>Efrain</v>
      </c>
      <c r="H353" s="1" t="str">
        <f t="shared" si="11"/>
        <v>22</v>
      </c>
    </row>
    <row r="354" spans="1:8" x14ac:dyDescent="0.35">
      <c r="A354" s="2" t="s">
        <v>32</v>
      </c>
      <c r="B354" s="11">
        <v>2014</v>
      </c>
      <c r="C354" s="1">
        <v>3.2</v>
      </c>
      <c r="D354" s="1">
        <v>3.2</v>
      </c>
      <c r="E354" s="7" t="s">
        <v>183</v>
      </c>
      <c r="F354" s="7" t="s">
        <v>205</v>
      </c>
      <c r="G354" s="1" t="str">
        <f t="shared" si="10"/>
        <v>Billie</v>
      </c>
      <c r="H354" s="1" t="str">
        <f t="shared" si="11"/>
        <v>22</v>
      </c>
    </row>
    <row r="355" spans="1:8" x14ac:dyDescent="0.35">
      <c r="A355" s="2" t="s">
        <v>33</v>
      </c>
      <c r="B355" s="11">
        <v>2014</v>
      </c>
      <c r="C355" s="1">
        <v>3</v>
      </c>
      <c r="D355" s="1">
        <v>3.1</v>
      </c>
      <c r="E355" s="7" t="s">
        <v>186</v>
      </c>
      <c r="F355" s="7" t="s">
        <v>206</v>
      </c>
      <c r="G355" s="1" t="str">
        <f t="shared" si="10"/>
        <v>Elias</v>
      </c>
      <c r="H355" s="1" t="str">
        <f t="shared" si="11"/>
        <v>22</v>
      </c>
    </row>
    <row r="356" spans="1:8" x14ac:dyDescent="0.35">
      <c r="A356" s="2" t="s">
        <v>34</v>
      </c>
      <c r="B356" s="11">
        <v>2014</v>
      </c>
      <c r="C356" s="1">
        <v>4.5999999999999996</v>
      </c>
      <c r="D356" s="1">
        <v>1.7</v>
      </c>
      <c r="E356" s="7" t="s">
        <v>186</v>
      </c>
      <c r="F356" s="7" t="s">
        <v>207</v>
      </c>
      <c r="G356" s="1" t="str">
        <f t="shared" si="10"/>
        <v>Elbert</v>
      </c>
      <c r="H356" s="1" t="str">
        <f t="shared" si="11"/>
        <v>40</v>
      </c>
    </row>
    <row r="357" spans="1:8" x14ac:dyDescent="0.35">
      <c r="A357" s="2" t="s">
        <v>35</v>
      </c>
      <c r="B357" s="11">
        <v>2014</v>
      </c>
      <c r="C357" s="1">
        <v>3.7</v>
      </c>
      <c r="D357" s="1">
        <v>1.3</v>
      </c>
      <c r="E357" s="7" t="s">
        <v>186</v>
      </c>
      <c r="F357" s="7" t="s">
        <v>208</v>
      </c>
      <c r="G357" s="1" t="str">
        <f t="shared" si="10"/>
        <v>Noah</v>
      </c>
      <c r="H357" s="1" t="str">
        <f t="shared" si="11"/>
        <v>20</v>
      </c>
    </row>
    <row r="358" spans="1:8" x14ac:dyDescent="0.35">
      <c r="A358" s="2" t="s">
        <v>36</v>
      </c>
      <c r="B358" s="11">
        <v>2014</v>
      </c>
      <c r="C358" s="1">
        <v>3.6</v>
      </c>
      <c r="D358" s="1">
        <v>2.7</v>
      </c>
      <c r="E358" s="7" t="s">
        <v>195</v>
      </c>
      <c r="F358" s="7" t="s">
        <v>209</v>
      </c>
      <c r="G358" s="1" t="str">
        <f t="shared" si="10"/>
        <v>Clay</v>
      </c>
      <c r="H358" s="1" t="str">
        <f t="shared" si="11"/>
        <v>22</v>
      </c>
    </row>
    <row r="359" spans="1:8" x14ac:dyDescent="0.35">
      <c r="A359" s="2" t="s">
        <v>37</v>
      </c>
      <c r="B359" s="11">
        <v>2014</v>
      </c>
      <c r="C359" s="1">
        <v>4.5999999999999996</v>
      </c>
      <c r="D359" s="1">
        <v>2.4</v>
      </c>
      <c r="E359" s="7" t="s">
        <v>183</v>
      </c>
      <c r="F359" s="7" t="s">
        <v>210</v>
      </c>
      <c r="G359" s="1" t="str">
        <f t="shared" si="10"/>
        <v>Garland</v>
      </c>
      <c r="H359" s="1" t="str">
        <f t="shared" si="11"/>
        <v>42</v>
      </c>
    </row>
    <row r="360" spans="1:8" x14ac:dyDescent="0.35">
      <c r="A360" s="2" t="s">
        <v>38</v>
      </c>
      <c r="B360" s="11">
        <v>2014</v>
      </c>
      <c r="C360" s="1">
        <v>1.5</v>
      </c>
      <c r="D360" s="1">
        <v>2.9</v>
      </c>
      <c r="E360" s="7" t="s">
        <v>183</v>
      </c>
      <c r="F360" s="7" t="s">
        <v>211</v>
      </c>
      <c r="G360" s="1" t="str">
        <f t="shared" si="10"/>
        <v>Miles</v>
      </c>
      <c r="H360" s="1" t="str">
        <f t="shared" si="11"/>
        <v>02</v>
      </c>
    </row>
    <row r="361" spans="1:8" x14ac:dyDescent="0.35">
      <c r="A361" s="2" t="s">
        <v>39</v>
      </c>
      <c r="B361" s="11">
        <v>2014</v>
      </c>
      <c r="C361" s="1">
        <v>4.2</v>
      </c>
      <c r="D361" s="1">
        <v>3</v>
      </c>
      <c r="E361" s="7" t="s">
        <v>183</v>
      </c>
      <c r="F361" s="7" t="s">
        <v>212</v>
      </c>
      <c r="G361" s="1" t="str">
        <f t="shared" si="10"/>
        <v>Micah</v>
      </c>
      <c r="H361" s="1" t="str">
        <f t="shared" si="11"/>
        <v>42</v>
      </c>
    </row>
    <row r="362" spans="1:8" x14ac:dyDescent="0.35">
      <c r="A362" s="2" t="s">
        <v>40</v>
      </c>
      <c r="B362" s="11">
        <v>2014</v>
      </c>
      <c r="C362" s="1">
        <v>1.5</v>
      </c>
      <c r="D362" s="1">
        <v>2.1</v>
      </c>
      <c r="E362" s="7" t="s">
        <v>195</v>
      </c>
      <c r="F362" s="7" t="s">
        <v>213</v>
      </c>
      <c r="G362" s="1" t="str">
        <f t="shared" si="10"/>
        <v>Lamar</v>
      </c>
      <c r="H362" s="1" t="str">
        <f t="shared" si="11"/>
        <v>02</v>
      </c>
    </row>
    <row r="363" spans="1:8" x14ac:dyDescent="0.35">
      <c r="A363" s="2" t="s">
        <v>41</v>
      </c>
      <c r="B363" s="11">
        <v>2014</v>
      </c>
      <c r="C363" s="1">
        <v>4.3</v>
      </c>
      <c r="D363" s="1">
        <v>1.2</v>
      </c>
      <c r="E363" s="7" t="s">
        <v>195</v>
      </c>
      <c r="F363" s="7" t="s">
        <v>214</v>
      </c>
      <c r="G363" s="1" t="str">
        <f t="shared" si="10"/>
        <v>Rolando</v>
      </c>
      <c r="H363" s="1" t="str">
        <f t="shared" si="11"/>
        <v>40</v>
      </c>
    </row>
    <row r="364" spans="1:8" x14ac:dyDescent="0.35">
      <c r="A364" s="2" t="s">
        <v>42</v>
      </c>
      <c r="B364" s="11">
        <v>2014</v>
      </c>
      <c r="C364" s="1">
        <v>2.2999999999999998</v>
      </c>
      <c r="D364" s="1">
        <v>3.2</v>
      </c>
      <c r="E364" s="7" t="s">
        <v>181</v>
      </c>
      <c r="F364" s="7" t="s">
        <v>215</v>
      </c>
      <c r="G364" s="1" t="str">
        <f t="shared" si="10"/>
        <v>Louie</v>
      </c>
      <c r="H364" s="1" t="str">
        <f t="shared" si="11"/>
        <v>22</v>
      </c>
    </row>
    <row r="365" spans="1:8" x14ac:dyDescent="0.35">
      <c r="A365" s="2" t="s">
        <v>43</v>
      </c>
      <c r="B365" s="11">
        <v>2014</v>
      </c>
      <c r="C365" s="1">
        <v>3.1</v>
      </c>
      <c r="D365" s="1">
        <v>2</v>
      </c>
      <c r="E365" s="7" t="s">
        <v>186</v>
      </c>
      <c r="F365" s="7" t="s">
        <v>216</v>
      </c>
      <c r="G365" s="1" t="str">
        <f t="shared" si="10"/>
        <v>Merle</v>
      </c>
      <c r="H365" s="1" t="str">
        <f t="shared" si="11"/>
        <v>22</v>
      </c>
    </row>
    <row r="366" spans="1:8" x14ac:dyDescent="0.35">
      <c r="A366" s="2" t="s">
        <v>44</v>
      </c>
      <c r="B366" s="11">
        <v>2014</v>
      </c>
      <c r="C366" s="1">
        <v>4.5</v>
      </c>
      <c r="D366" s="1">
        <v>2.8</v>
      </c>
      <c r="E366" s="7" t="s">
        <v>195</v>
      </c>
      <c r="F366" s="7" t="s">
        <v>217</v>
      </c>
      <c r="G366" s="1" t="str">
        <f t="shared" si="10"/>
        <v>Logan</v>
      </c>
      <c r="H366" s="1" t="str">
        <f t="shared" si="11"/>
        <v>42</v>
      </c>
    </row>
    <row r="367" spans="1:8" x14ac:dyDescent="0.35">
      <c r="A367" s="2" t="s">
        <v>45</v>
      </c>
      <c r="B367" s="11">
        <v>2014</v>
      </c>
      <c r="C367" s="1">
        <v>1.2</v>
      </c>
      <c r="D367" s="1">
        <v>1</v>
      </c>
      <c r="E367" s="7" t="s">
        <v>195</v>
      </c>
      <c r="F367" s="7" t="s">
        <v>218</v>
      </c>
      <c r="G367" s="1" t="str">
        <f t="shared" si="10"/>
        <v>Bradford</v>
      </c>
      <c r="H367" s="1" t="str">
        <f t="shared" si="11"/>
        <v>00</v>
      </c>
    </row>
    <row r="368" spans="1:8" x14ac:dyDescent="0.35">
      <c r="A368" s="2" t="s">
        <v>46</v>
      </c>
      <c r="B368" s="11">
        <v>2014</v>
      </c>
      <c r="C368" s="1">
        <v>0.6</v>
      </c>
      <c r="D368" s="1">
        <v>1.7</v>
      </c>
      <c r="E368" s="7" t="s">
        <v>181</v>
      </c>
      <c r="F368" s="7" t="s">
        <v>219</v>
      </c>
      <c r="G368" s="1" t="str">
        <f t="shared" si="10"/>
        <v>Vicente</v>
      </c>
      <c r="H368" s="1" t="str">
        <f t="shared" si="11"/>
        <v>00</v>
      </c>
    </row>
    <row r="369" spans="1:8" x14ac:dyDescent="0.35">
      <c r="A369" s="2" t="s">
        <v>47</v>
      </c>
      <c r="B369" s="11">
        <v>2014</v>
      </c>
      <c r="C369" s="1">
        <v>3.9</v>
      </c>
      <c r="D369" s="1">
        <v>2.5</v>
      </c>
      <c r="E369" s="7" t="s">
        <v>183</v>
      </c>
      <c r="F369" s="7" t="s">
        <v>220</v>
      </c>
      <c r="G369" s="1" t="str">
        <f t="shared" si="10"/>
        <v>Grady</v>
      </c>
      <c r="H369" s="1" t="str">
        <f t="shared" si="11"/>
        <v>22</v>
      </c>
    </row>
    <row r="370" spans="1:8" x14ac:dyDescent="0.35">
      <c r="A370" s="2" t="s">
        <v>48</v>
      </c>
      <c r="B370" s="11">
        <v>2014</v>
      </c>
      <c r="C370" s="1">
        <v>2.5</v>
      </c>
      <c r="D370" s="1">
        <v>1.3</v>
      </c>
      <c r="E370" s="7" t="s">
        <v>183</v>
      </c>
      <c r="F370" s="7" t="s">
        <v>221</v>
      </c>
      <c r="G370" s="1" t="str">
        <f t="shared" si="10"/>
        <v>Otto</v>
      </c>
      <c r="H370" s="1" t="str">
        <f t="shared" si="11"/>
        <v>20</v>
      </c>
    </row>
    <row r="371" spans="1:8" x14ac:dyDescent="0.35">
      <c r="A371" s="2" t="s">
        <v>49</v>
      </c>
      <c r="B371" s="11">
        <v>2014</v>
      </c>
      <c r="C371" s="1">
        <v>0.2</v>
      </c>
      <c r="D371" s="1">
        <v>1.6</v>
      </c>
      <c r="E371" s="7" t="s">
        <v>183</v>
      </c>
      <c r="F371" s="7" t="s">
        <v>222</v>
      </c>
      <c r="G371" s="1" t="str">
        <f t="shared" si="10"/>
        <v>Carroll</v>
      </c>
      <c r="H371" s="1" t="str">
        <f t="shared" si="11"/>
        <v>00</v>
      </c>
    </row>
    <row r="372" spans="1:8" x14ac:dyDescent="0.35">
      <c r="A372" s="2" t="s">
        <v>50</v>
      </c>
      <c r="B372" s="11">
        <v>2014</v>
      </c>
      <c r="C372" s="1">
        <v>1</v>
      </c>
      <c r="D372" s="1">
        <v>0.5</v>
      </c>
      <c r="E372" s="7" t="s">
        <v>195</v>
      </c>
      <c r="F372" s="7" t="s">
        <v>223</v>
      </c>
      <c r="G372" s="1" t="str">
        <f t="shared" si="10"/>
        <v>Terrell</v>
      </c>
      <c r="H372" s="1" t="str">
        <f t="shared" si="11"/>
        <v>00</v>
      </c>
    </row>
    <row r="373" spans="1:8" x14ac:dyDescent="0.35">
      <c r="A373" s="2" t="s">
        <v>51</v>
      </c>
      <c r="B373" s="11">
        <v>2014</v>
      </c>
      <c r="C373" s="1">
        <v>1.8</v>
      </c>
      <c r="D373" s="1">
        <v>3.1</v>
      </c>
      <c r="E373" s="7" t="s">
        <v>195</v>
      </c>
      <c r="F373" s="7" t="s">
        <v>224</v>
      </c>
      <c r="G373" s="1" t="str">
        <f t="shared" si="10"/>
        <v>Moses</v>
      </c>
      <c r="H373" s="1" t="str">
        <f t="shared" si="11"/>
        <v>02</v>
      </c>
    </row>
    <row r="374" spans="1:8" x14ac:dyDescent="0.35">
      <c r="A374" s="2" t="s">
        <v>52</v>
      </c>
      <c r="B374" s="11">
        <v>2014</v>
      </c>
      <c r="C374" s="1">
        <v>4.2</v>
      </c>
      <c r="D374" s="1">
        <v>2.1</v>
      </c>
      <c r="E374" s="7" t="s">
        <v>195</v>
      </c>
      <c r="F374" s="7" t="s">
        <v>225</v>
      </c>
      <c r="G374" s="1" t="str">
        <f t="shared" si="10"/>
        <v>Irvin</v>
      </c>
      <c r="H374" s="1" t="str">
        <f t="shared" si="11"/>
        <v>42</v>
      </c>
    </row>
    <row r="375" spans="1:8" x14ac:dyDescent="0.35">
      <c r="A375" s="2" t="s">
        <v>53</v>
      </c>
      <c r="B375" s="11">
        <v>2014</v>
      </c>
      <c r="C375" s="1">
        <v>3.8</v>
      </c>
      <c r="D375" s="1">
        <v>1.6</v>
      </c>
      <c r="E375" s="7" t="s">
        <v>181</v>
      </c>
      <c r="F375" s="7" t="s">
        <v>226</v>
      </c>
      <c r="G375" s="1" t="str">
        <f t="shared" si="10"/>
        <v>Stephan</v>
      </c>
      <c r="H375" s="1" t="str">
        <f t="shared" si="11"/>
        <v>20</v>
      </c>
    </row>
    <row r="376" spans="1:8" x14ac:dyDescent="0.35">
      <c r="A376" s="2" t="s">
        <v>54</v>
      </c>
      <c r="B376" s="11">
        <v>2014</v>
      </c>
      <c r="C376" s="1">
        <v>4.3</v>
      </c>
      <c r="D376" s="1">
        <v>0.7</v>
      </c>
      <c r="E376" s="7" t="s">
        <v>227</v>
      </c>
      <c r="F376" s="7" t="s">
        <v>228</v>
      </c>
      <c r="G376" s="1" t="str">
        <f t="shared" si="10"/>
        <v>Rocky</v>
      </c>
      <c r="H376" s="1" t="str">
        <f t="shared" si="11"/>
        <v>40</v>
      </c>
    </row>
    <row r="377" spans="1:8" x14ac:dyDescent="0.35">
      <c r="A377" s="2" t="s">
        <v>55</v>
      </c>
      <c r="B377" s="11">
        <v>2014</v>
      </c>
      <c r="C377" s="1">
        <v>2.1</v>
      </c>
      <c r="D377" s="1">
        <v>2.9</v>
      </c>
      <c r="E377" s="7" t="s">
        <v>183</v>
      </c>
      <c r="F377" s="7" t="s">
        <v>229</v>
      </c>
      <c r="G377" s="1" t="str">
        <f t="shared" si="10"/>
        <v>Cornelius</v>
      </c>
      <c r="H377" s="1" t="str">
        <f t="shared" si="11"/>
        <v>22</v>
      </c>
    </row>
    <row r="378" spans="1:8" x14ac:dyDescent="0.35">
      <c r="A378" s="2" t="s">
        <v>56</v>
      </c>
      <c r="B378" s="11">
        <v>2014</v>
      </c>
      <c r="C378" s="1">
        <v>4.4000000000000004</v>
      </c>
      <c r="D378" s="1">
        <v>2.4</v>
      </c>
      <c r="E378" s="7" t="s">
        <v>183</v>
      </c>
      <c r="F378" s="7" t="s">
        <v>230</v>
      </c>
      <c r="G378" s="1" t="str">
        <f t="shared" si="10"/>
        <v>Dewayne</v>
      </c>
      <c r="H378" s="1" t="str">
        <f t="shared" si="11"/>
        <v>42</v>
      </c>
    </row>
    <row r="379" spans="1:8" x14ac:dyDescent="0.35">
      <c r="A379" s="2" t="s">
        <v>57</v>
      </c>
      <c r="B379" s="11">
        <v>2014</v>
      </c>
      <c r="C379" s="1">
        <v>2.2000000000000002</v>
      </c>
      <c r="D379" s="1">
        <v>2.9</v>
      </c>
      <c r="E379" s="7" t="s">
        <v>183</v>
      </c>
      <c r="F379" s="7" t="s">
        <v>231</v>
      </c>
      <c r="G379" s="1" t="str">
        <f t="shared" si="10"/>
        <v>Phil</v>
      </c>
      <c r="H379" s="1" t="str">
        <f t="shared" si="11"/>
        <v>22</v>
      </c>
    </row>
    <row r="380" spans="1:8" x14ac:dyDescent="0.35">
      <c r="A380" s="2" t="s">
        <v>58</v>
      </c>
      <c r="B380" s="11">
        <v>2014</v>
      </c>
      <c r="C380" s="1">
        <v>1.7</v>
      </c>
      <c r="D380" s="1">
        <v>2.5</v>
      </c>
      <c r="E380" s="7" t="s">
        <v>195</v>
      </c>
      <c r="F380" s="7" t="s">
        <v>232</v>
      </c>
      <c r="G380" s="1" t="str">
        <f t="shared" si="10"/>
        <v>Abel</v>
      </c>
      <c r="H380" s="1" t="str">
        <f t="shared" si="11"/>
        <v>02</v>
      </c>
    </row>
    <row r="381" spans="1:8" x14ac:dyDescent="0.35">
      <c r="A381" s="2" t="s">
        <v>59</v>
      </c>
      <c r="B381" s="11">
        <v>2014</v>
      </c>
      <c r="C381" s="1">
        <v>4.4000000000000004</v>
      </c>
      <c r="D381" s="1">
        <v>1.7</v>
      </c>
      <c r="E381" s="7" t="s">
        <v>183</v>
      </c>
      <c r="F381" s="7" t="s">
        <v>233</v>
      </c>
      <c r="G381" s="1" t="str">
        <f t="shared" si="10"/>
        <v>Julian</v>
      </c>
      <c r="H381" s="1" t="str">
        <f t="shared" si="11"/>
        <v>40</v>
      </c>
    </row>
    <row r="382" spans="1:8" x14ac:dyDescent="0.35">
      <c r="A382" s="2" t="s">
        <v>60</v>
      </c>
      <c r="B382" s="11">
        <v>2014</v>
      </c>
      <c r="C382" s="1">
        <v>2.1</v>
      </c>
      <c r="D382" s="1">
        <v>2.1</v>
      </c>
      <c r="E382" s="7" t="s">
        <v>195</v>
      </c>
      <c r="F382" s="7" t="s">
        <v>234</v>
      </c>
      <c r="G382" s="1" t="str">
        <f t="shared" si="10"/>
        <v>Virgil</v>
      </c>
      <c r="H382" s="1" t="str">
        <f t="shared" si="11"/>
        <v>22</v>
      </c>
    </row>
    <row r="383" spans="1:8" x14ac:dyDescent="0.35">
      <c r="A383" s="2" t="s">
        <v>61</v>
      </c>
      <c r="B383" s="11">
        <v>2014</v>
      </c>
      <c r="C383" s="1">
        <v>1.6</v>
      </c>
      <c r="D383" s="1">
        <v>1.8</v>
      </c>
      <c r="E383" s="7" t="s">
        <v>195</v>
      </c>
      <c r="F383" s="7" t="s">
        <v>235</v>
      </c>
      <c r="G383" s="1" t="str">
        <f t="shared" si="10"/>
        <v>Winston</v>
      </c>
      <c r="H383" s="1" t="str">
        <f t="shared" si="11"/>
        <v>00</v>
      </c>
    </row>
    <row r="384" spans="1:8" x14ac:dyDescent="0.35">
      <c r="A384" s="2" t="s">
        <v>62</v>
      </c>
      <c r="B384" s="11">
        <v>2014</v>
      </c>
      <c r="C384" s="1">
        <v>3</v>
      </c>
      <c r="D384" s="1">
        <v>2.8</v>
      </c>
      <c r="E384" s="7" t="s">
        <v>195</v>
      </c>
      <c r="F384" s="7" t="s">
        <v>236</v>
      </c>
      <c r="G384" s="1" t="str">
        <f t="shared" si="10"/>
        <v>Aubrey</v>
      </c>
      <c r="H384" s="1" t="str">
        <f t="shared" si="11"/>
        <v>22</v>
      </c>
    </row>
    <row r="385" spans="1:8" x14ac:dyDescent="0.35">
      <c r="A385" s="2" t="s">
        <v>63</v>
      </c>
      <c r="B385" s="11">
        <v>2014</v>
      </c>
      <c r="C385" s="1">
        <v>0.9</v>
      </c>
      <c r="D385" s="1">
        <v>3.9</v>
      </c>
      <c r="E385" s="7" t="s">
        <v>195</v>
      </c>
      <c r="F385" s="7" t="s">
        <v>237</v>
      </c>
      <c r="G385" s="1" t="str">
        <f t="shared" si="10"/>
        <v>Boyd</v>
      </c>
      <c r="H385" s="1" t="str">
        <f t="shared" si="11"/>
        <v>02</v>
      </c>
    </row>
    <row r="386" spans="1:8" x14ac:dyDescent="0.35">
      <c r="A386" s="2" t="s">
        <v>64</v>
      </c>
      <c r="B386" s="11">
        <v>2014</v>
      </c>
      <c r="C386" s="1">
        <v>0.5</v>
      </c>
      <c r="D386" s="1">
        <v>0.9</v>
      </c>
      <c r="E386" s="7" t="s">
        <v>227</v>
      </c>
      <c r="F386" s="7" t="s">
        <v>238</v>
      </c>
      <c r="G386" s="1" t="str">
        <f t="shared" ref="G386:G449" si="12">LEFT(F386,FIND(" ",F386)-1)</f>
        <v>Freddy</v>
      </c>
      <c r="H386" s="1" t="str">
        <f t="shared" ref="H386:H449" si="13">FLOOR(C386,2)&amp;FLOOR(D386,2)</f>
        <v>00</v>
      </c>
    </row>
    <row r="387" spans="1:8" x14ac:dyDescent="0.35">
      <c r="A387" s="2" t="s">
        <v>65</v>
      </c>
      <c r="B387" s="11">
        <v>2014</v>
      </c>
      <c r="C387" s="1">
        <v>4</v>
      </c>
      <c r="D387" s="1">
        <v>3.7</v>
      </c>
      <c r="E387" s="7" t="s">
        <v>195</v>
      </c>
      <c r="F387" s="7" t="s">
        <v>239</v>
      </c>
      <c r="G387" s="1" t="str">
        <f t="shared" si="12"/>
        <v>Andy</v>
      </c>
      <c r="H387" s="1" t="str">
        <f t="shared" si="13"/>
        <v>42</v>
      </c>
    </row>
    <row r="388" spans="1:8" x14ac:dyDescent="0.35">
      <c r="A388" s="2" t="s">
        <v>66</v>
      </c>
      <c r="B388" s="11">
        <v>2014</v>
      </c>
      <c r="C388" s="1">
        <v>4.3</v>
      </c>
      <c r="D388" s="1">
        <v>3.7</v>
      </c>
      <c r="E388" s="7" t="s">
        <v>195</v>
      </c>
      <c r="F388" s="7" t="s">
        <v>240</v>
      </c>
      <c r="G388" s="1" t="str">
        <f t="shared" si="12"/>
        <v>Ross</v>
      </c>
      <c r="H388" s="1" t="str">
        <f t="shared" si="13"/>
        <v>42</v>
      </c>
    </row>
    <row r="389" spans="1:8" x14ac:dyDescent="0.35">
      <c r="A389" s="2" t="s">
        <v>67</v>
      </c>
      <c r="B389" s="11">
        <v>2014</v>
      </c>
      <c r="C389" s="1">
        <v>1.2</v>
      </c>
      <c r="D389" s="1">
        <v>1.6</v>
      </c>
      <c r="E389" s="7" t="s">
        <v>195</v>
      </c>
      <c r="F389" s="7" t="s">
        <v>241</v>
      </c>
      <c r="G389" s="1" t="str">
        <f t="shared" si="12"/>
        <v>Emilio</v>
      </c>
      <c r="H389" s="1" t="str">
        <f t="shared" si="13"/>
        <v>00</v>
      </c>
    </row>
    <row r="390" spans="1:8" x14ac:dyDescent="0.35">
      <c r="A390" s="2" t="s">
        <v>68</v>
      </c>
      <c r="B390" s="11">
        <v>2014</v>
      </c>
      <c r="C390" s="1">
        <v>3.1</v>
      </c>
      <c r="D390" s="1">
        <v>2.6</v>
      </c>
      <c r="E390" s="7" t="s">
        <v>195</v>
      </c>
      <c r="F390" s="7" t="s">
        <v>242</v>
      </c>
      <c r="G390" s="1" t="str">
        <f t="shared" si="12"/>
        <v>Tommie</v>
      </c>
      <c r="H390" s="1" t="str">
        <f t="shared" si="13"/>
        <v>22</v>
      </c>
    </row>
    <row r="391" spans="1:8" x14ac:dyDescent="0.35">
      <c r="A391" s="2" t="s">
        <v>69</v>
      </c>
      <c r="B391" s="11">
        <v>2014</v>
      </c>
      <c r="C391" s="1">
        <v>4.9000000000000004</v>
      </c>
      <c r="D391" s="1">
        <v>1.7</v>
      </c>
      <c r="E391" s="7" t="s">
        <v>195</v>
      </c>
      <c r="F391" s="7" t="s">
        <v>243</v>
      </c>
      <c r="G391" s="1" t="str">
        <f t="shared" si="12"/>
        <v>Elijah</v>
      </c>
      <c r="H391" s="1" t="str">
        <f t="shared" si="13"/>
        <v>40</v>
      </c>
    </row>
    <row r="392" spans="1:8" x14ac:dyDescent="0.35">
      <c r="A392" s="2" t="s">
        <v>70</v>
      </c>
      <c r="B392" s="11">
        <v>2014</v>
      </c>
      <c r="C392" s="1">
        <v>2.2000000000000002</v>
      </c>
      <c r="D392" s="1">
        <v>2.8</v>
      </c>
      <c r="E392" s="7" t="s">
        <v>195</v>
      </c>
      <c r="F392" s="7" t="s">
        <v>244</v>
      </c>
      <c r="G392" s="1" t="str">
        <f t="shared" si="12"/>
        <v>Darrin</v>
      </c>
      <c r="H392" s="1" t="str">
        <f t="shared" si="13"/>
        <v>22</v>
      </c>
    </row>
    <row r="393" spans="1:8" x14ac:dyDescent="0.35">
      <c r="A393" s="2" t="s">
        <v>71</v>
      </c>
      <c r="B393" s="11">
        <v>2014</v>
      </c>
      <c r="C393" s="1">
        <v>4</v>
      </c>
      <c r="D393" s="1">
        <v>2.2999999999999998</v>
      </c>
      <c r="E393" s="7" t="s">
        <v>181</v>
      </c>
      <c r="F393" s="7" t="s">
        <v>245</v>
      </c>
      <c r="G393" s="1" t="str">
        <f t="shared" si="12"/>
        <v>Humberto</v>
      </c>
      <c r="H393" s="1" t="str">
        <f t="shared" si="13"/>
        <v>42</v>
      </c>
    </row>
    <row r="394" spans="1:8" x14ac:dyDescent="0.35">
      <c r="A394" s="2" t="s">
        <v>72</v>
      </c>
      <c r="B394" s="11">
        <v>2014</v>
      </c>
      <c r="C394" s="1">
        <v>4.5</v>
      </c>
      <c r="D394" s="1">
        <v>2.6</v>
      </c>
      <c r="E394" s="7" t="s">
        <v>195</v>
      </c>
      <c r="F394" s="7" t="s">
        <v>246</v>
      </c>
      <c r="G394" s="1" t="str">
        <f t="shared" si="12"/>
        <v>Roman</v>
      </c>
      <c r="H394" s="1" t="str">
        <f t="shared" si="13"/>
        <v>42</v>
      </c>
    </row>
    <row r="395" spans="1:8" x14ac:dyDescent="0.35">
      <c r="A395" s="2" t="s">
        <v>73</v>
      </c>
      <c r="B395" s="11">
        <v>2014</v>
      </c>
      <c r="C395" s="1">
        <v>4</v>
      </c>
      <c r="D395" s="1">
        <v>2.6</v>
      </c>
      <c r="E395" s="7" t="s">
        <v>183</v>
      </c>
      <c r="F395" s="7" t="s">
        <v>247</v>
      </c>
      <c r="G395" s="1" t="str">
        <f t="shared" si="12"/>
        <v>Rodger</v>
      </c>
      <c r="H395" s="1" t="str">
        <f t="shared" si="13"/>
        <v>42</v>
      </c>
    </row>
    <row r="396" spans="1:8" x14ac:dyDescent="0.35">
      <c r="A396" s="2" t="s">
        <v>74</v>
      </c>
      <c r="B396" s="11">
        <v>2014</v>
      </c>
      <c r="C396" s="1">
        <v>0.5</v>
      </c>
      <c r="D396" s="1">
        <v>2.2000000000000002</v>
      </c>
      <c r="E396" s="7" t="s">
        <v>181</v>
      </c>
      <c r="F396" s="7" t="s">
        <v>248</v>
      </c>
      <c r="G396" s="1" t="str">
        <f t="shared" si="12"/>
        <v>Clark</v>
      </c>
      <c r="H396" s="1" t="str">
        <f t="shared" si="13"/>
        <v>02</v>
      </c>
    </row>
    <row r="397" spans="1:8" x14ac:dyDescent="0.35">
      <c r="A397" s="2" t="s">
        <v>75</v>
      </c>
      <c r="B397" s="11">
        <v>2014</v>
      </c>
      <c r="C397" s="1">
        <v>0.4</v>
      </c>
      <c r="D397" s="1">
        <v>3.5</v>
      </c>
      <c r="E397" s="7" t="s">
        <v>195</v>
      </c>
      <c r="F397" s="7" t="s">
        <v>249</v>
      </c>
      <c r="G397" s="1" t="str">
        <f t="shared" si="12"/>
        <v>Darnell</v>
      </c>
      <c r="H397" s="1" t="str">
        <f t="shared" si="13"/>
        <v>02</v>
      </c>
    </row>
    <row r="398" spans="1:8" x14ac:dyDescent="0.35">
      <c r="A398" s="2" t="s">
        <v>76</v>
      </c>
      <c r="B398" s="11">
        <v>2014</v>
      </c>
      <c r="C398" s="1">
        <v>4.9000000000000004</v>
      </c>
      <c r="D398" s="1">
        <v>2.6</v>
      </c>
      <c r="E398" s="7" t="s">
        <v>183</v>
      </c>
      <c r="F398" s="7" t="s">
        <v>250</v>
      </c>
      <c r="G398" s="1" t="str">
        <f t="shared" si="12"/>
        <v>Ethan</v>
      </c>
      <c r="H398" s="1" t="str">
        <f t="shared" si="13"/>
        <v>42</v>
      </c>
    </row>
    <row r="399" spans="1:8" x14ac:dyDescent="0.35">
      <c r="A399" s="2" t="s">
        <v>77</v>
      </c>
      <c r="B399" s="11">
        <v>2014</v>
      </c>
      <c r="C399" s="1">
        <v>0.5</v>
      </c>
      <c r="D399" s="1">
        <v>1.9</v>
      </c>
      <c r="E399" s="7" t="s">
        <v>183</v>
      </c>
      <c r="F399" s="7" t="s">
        <v>251</v>
      </c>
      <c r="G399" s="1" t="str">
        <f t="shared" si="12"/>
        <v>Byron</v>
      </c>
      <c r="H399" s="1" t="str">
        <f t="shared" si="13"/>
        <v>00</v>
      </c>
    </row>
    <row r="400" spans="1:8" x14ac:dyDescent="0.35">
      <c r="A400" s="2" t="s">
        <v>78</v>
      </c>
      <c r="B400" s="11">
        <v>2014</v>
      </c>
      <c r="C400" s="1">
        <v>0.2</v>
      </c>
      <c r="D400" s="1">
        <v>3.1</v>
      </c>
      <c r="E400" s="7" t="s">
        <v>183</v>
      </c>
      <c r="F400" s="7" t="s">
        <v>252</v>
      </c>
      <c r="G400" s="1" t="str">
        <f t="shared" si="12"/>
        <v>Loretta</v>
      </c>
      <c r="H400" s="1" t="str">
        <f t="shared" si="13"/>
        <v>02</v>
      </c>
    </row>
    <row r="401" spans="1:8" x14ac:dyDescent="0.35">
      <c r="A401" s="2" t="s">
        <v>79</v>
      </c>
      <c r="B401" s="11">
        <v>2014</v>
      </c>
      <c r="C401" s="1">
        <v>0.2</v>
      </c>
      <c r="D401" s="1">
        <v>2.7</v>
      </c>
      <c r="E401" s="7" t="s">
        <v>195</v>
      </c>
      <c r="F401" s="7" t="s">
        <v>253</v>
      </c>
      <c r="G401" s="1" t="str">
        <f t="shared" si="12"/>
        <v>Victoria</v>
      </c>
      <c r="H401" s="1" t="str">
        <f t="shared" si="13"/>
        <v>02</v>
      </c>
    </row>
    <row r="402" spans="1:8" x14ac:dyDescent="0.35">
      <c r="A402" s="2" t="s">
        <v>80</v>
      </c>
      <c r="B402" s="11">
        <v>2014</v>
      </c>
      <c r="C402" s="1">
        <v>4.3</v>
      </c>
      <c r="D402" s="1">
        <v>0.7</v>
      </c>
      <c r="E402" s="7" t="s">
        <v>183</v>
      </c>
      <c r="F402" s="7" t="s">
        <v>254</v>
      </c>
      <c r="G402" s="1" t="str">
        <f t="shared" si="12"/>
        <v>Katie</v>
      </c>
      <c r="H402" s="1" t="str">
        <f t="shared" si="13"/>
        <v>40</v>
      </c>
    </row>
    <row r="403" spans="1:8" x14ac:dyDescent="0.35">
      <c r="A403" s="2" t="s">
        <v>81</v>
      </c>
      <c r="B403" s="11">
        <v>2014</v>
      </c>
      <c r="C403" s="1">
        <v>3.8</v>
      </c>
      <c r="D403" s="1">
        <v>3</v>
      </c>
      <c r="E403" s="7" t="s">
        <v>183</v>
      </c>
      <c r="F403" s="7" t="s">
        <v>255</v>
      </c>
      <c r="G403" s="1" t="str">
        <f t="shared" si="12"/>
        <v>Josephine</v>
      </c>
      <c r="H403" s="1" t="str">
        <f t="shared" si="13"/>
        <v>22</v>
      </c>
    </row>
    <row r="404" spans="1:8" x14ac:dyDescent="0.35">
      <c r="A404" s="2" t="s">
        <v>82</v>
      </c>
      <c r="B404" s="11">
        <v>2014</v>
      </c>
      <c r="C404" s="1">
        <v>1.6</v>
      </c>
      <c r="D404" s="1">
        <v>1.4</v>
      </c>
      <c r="E404" s="7" t="s">
        <v>183</v>
      </c>
      <c r="F404" s="7" t="s">
        <v>256</v>
      </c>
      <c r="G404" s="1" t="str">
        <f t="shared" si="12"/>
        <v>Thelma</v>
      </c>
      <c r="H404" s="1" t="str">
        <f t="shared" si="13"/>
        <v>00</v>
      </c>
    </row>
    <row r="405" spans="1:8" x14ac:dyDescent="0.35">
      <c r="A405" s="2" t="s">
        <v>83</v>
      </c>
      <c r="B405" s="11">
        <v>2014</v>
      </c>
      <c r="C405" s="1">
        <v>3.6</v>
      </c>
      <c r="D405" s="1">
        <v>3.5</v>
      </c>
      <c r="E405" s="7" t="s">
        <v>186</v>
      </c>
      <c r="F405" s="7" t="s">
        <v>257</v>
      </c>
      <c r="G405" s="1" t="str">
        <f t="shared" si="12"/>
        <v>Wilfred</v>
      </c>
      <c r="H405" s="1" t="str">
        <f t="shared" si="13"/>
        <v>22</v>
      </c>
    </row>
    <row r="406" spans="1:8" x14ac:dyDescent="0.35">
      <c r="A406" s="2" t="s">
        <v>84</v>
      </c>
      <c r="B406" s="11">
        <v>2014</v>
      </c>
      <c r="C406" s="1">
        <v>2.9</v>
      </c>
      <c r="D406" s="1">
        <v>2.8</v>
      </c>
      <c r="E406" s="7" t="s">
        <v>186</v>
      </c>
      <c r="F406" s="7" t="s">
        <v>258</v>
      </c>
      <c r="G406" s="1" t="str">
        <f t="shared" si="12"/>
        <v>Taylor</v>
      </c>
      <c r="H406" s="1" t="str">
        <f t="shared" si="13"/>
        <v>22</v>
      </c>
    </row>
    <row r="407" spans="1:8" x14ac:dyDescent="0.35">
      <c r="A407" s="2" t="s">
        <v>85</v>
      </c>
      <c r="B407" s="11">
        <v>2014</v>
      </c>
      <c r="C407" s="1">
        <v>1.7</v>
      </c>
      <c r="D407" s="1">
        <v>3.9</v>
      </c>
      <c r="E407" s="7" t="s">
        <v>195</v>
      </c>
      <c r="F407" s="7" t="s">
        <v>259</v>
      </c>
      <c r="G407" s="1" t="str">
        <f t="shared" si="12"/>
        <v>Morris</v>
      </c>
      <c r="H407" s="1" t="str">
        <f t="shared" si="13"/>
        <v>02</v>
      </c>
    </row>
    <row r="408" spans="1:8" x14ac:dyDescent="0.35">
      <c r="A408" s="2" t="s">
        <v>86</v>
      </c>
      <c r="B408" s="11">
        <v>2014</v>
      </c>
      <c r="C408" s="1">
        <v>2.2000000000000002</v>
      </c>
      <c r="D408" s="1">
        <v>2.2000000000000002</v>
      </c>
      <c r="E408" s="7" t="s">
        <v>227</v>
      </c>
      <c r="F408" s="7" t="s">
        <v>260</v>
      </c>
      <c r="G408" s="1" t="str">
        <f t="shared" si="12"/>
        <v>Pierre</v>
      </c>
      <c r="H408" s="1" t="str">
        <f t="shared" si="13"/>
        <v>22</v>
      </c>
    </row>
    <row r="409" spans="1:8" x14ac:dyDescent="0.35">
      <c r="A409" s="2" t="s">
        <v>87</v>
      </c>
      <c r="B409" s="11">
        <v>2014</v>
      </c>
      <c r="C409" s="1">
        <v>3.4</v>
      </c>
      <c r="D409" s="1">
        <v>2.8</v>
      </c>
      <c r="E409" s="7" t="s">
        <v>186</v>
      </c>
      <c r="F409" s="7" t="s">
        <v>261</v>
      </c>
      <c r="G409" s="1" t="str">
        <f t="shared" si="12"/>
        <v>Frankie</v>
      </c>
      <c r="H409" s="1" t="str">
        <f t="shared" si="13"/>
        <v>22</v>
      </c>
    </row>
    <row r="410" spans="1:8" x14ac:dyDescent="0.35">
      <c r="A410" s="2" t="s">
        <v>88</v>
      </c>
      <c r="B410" s="11">
        <v>2014</v>
      </c>
      <c r="C410" s="1">
        <v>2.7</v>
      </c>
      <c r="D410" s="1">
        <v>1.8</v>
      </c>
      <c r="E410" s="7" t="s">
        <v>183</v>
      </c>
      <c r="F410" s="7" t="s">
        <v>262</v>
      </c>
      <c r="G410" s="1" t="str">
        <f t="shared" si="12"/>
        <v>Bret</v>
      </c>
      <c r="H410" s="1" t="str">
        <f t="shared" si="13"/>
        <v>20</v>
      </c>
    </row>
    <row r="411" spans="1:8" x14ac:dyDescent="0.35">
      <c r="A411" s="2" t="s">
        <v>89</v>
      </c>
      <c r="B411" s="11">
        <v>2014</v>
      </c>
      <c r="C411" s="1">
        <v>1.6</v>
      </c>
      <c r="D411" s="1">
        <v>4.7</v>
      </c>
      <c r="E411" s="7" t="s">
        <v>183</v>
      </c>
      <c r="F411" s="7" t="s">
        <v>263</v>
      </c>
      <c r="G411" s="1" t="str">
        <f t="shared" si="12"/>
        <v>Harley</v>
      </c>
      <c r="H411" s="1" t="str">
        <f t="shared" si="13"/>
        <v>04</v>
      </c>
    </row>
    <row r="412" spans="1:8" x14ac:dyDescent="0.35">
      <c r="A412" s="2" t="s">
        <v>90</v>
      </c>
      <c r="B412" s="11">
        <v>2014</v>
      </c>
      <c r="C412" s="1">
        <v>1.9</v>
      </c>
      <c r="D412" s="1">
        <v>2.5</v>
      </c>
      <c r="E412" s="7" t="s">
        <v>181</v>
      </c>
      <c r="F412" s="7" t="s">
        <v>264</v>
      </c>
      <c r="G412" s="1" t="str">
        <f t="shared" si="12"/>
        <v>Jess</v>
      </c>
      <c r="H412" s="1" t="str">
        <f t="shared" si="13"/>
        <v>02</v>
      </c>
    </row>
    <row r="413" spans="1:8" x14ac:dyDescent="0.35">
      <c r="A413" s="2" t="s">
        <v>91</v>
      </c>
      <c r="B413" s="11">
        <v>2014</v>
      </c>
      <c r="C413" s="1">
        <v>0.5</v>
      </c>
      <c r="D413" s="1">
        <v>3.5</v>
      </c>
      <c r="E413" s="7" t="s">
        <v>227</v>
      </c>
      <c r="F413" s="7" t="s">
        <v>265</v>
      </c>
      <c r="G413" s="1" t="str">
        <f t="shared" si="12"/>
        <v>Junior</v>
      </c>
      <c r="H413" s="1" t="str">
        <f t="shared" si="13"/>
        <v>02</v>
      </c>
    </row>
    <row r="414" spans="1:8" x14ac:dyDescent="0.35">
      <c r="A414" s="2" t="s">
        <v>92</v>
      </c>
      <c r="B414" s="11">
        <v>2014</v>
      </c>
      <c r="C414" s="1">
        <v>3.7</v>
      </c>
      <c r="D414" s="1">
        <v>2.7</v>
      </c>
      <c r="E414" s="7" t="s">
        <v>183</v>
      </c>
      <c r="F414" s="7" t="s">
        <v>266</v>
      </c>
      <c r="G414" s="1" t="str">
        <f t="shared" si="12"/>
        <v>Emmett</v>
      </c>
      <c r="H414" s="1" t="str">
        <f t="shared" si="13"/>
        <v>22</v>
      </c>
    </row>
    <row r="415" spans="1:8" x14ac:dyDescent="0.35">
      <c r="A415" s="2" t="s">
        <v>93</v>
      </c>
      <c r="B415" s="11">
        <v>2014</v>
      </c>
      <c r="C415" s="1">
        <v>4</v>
      </c>
      <c r="D415" s="1">
        <v>2.1</v>
      </c>
      <c r="E415" s="7" t="s">
        <v>183</v>
      </c>
      <c r="F415" s="7" t="s">
        <v>267</v>
      </c>
      <c r="G415" s="1" t="str">
        <f t="shared" si="12"/>
        <v>Reynaldo</v>
      </c>
      <c r="H415" s="1" t="str">
        <f t="shared" si="13"/>
        <v>42</v>
      </c>
    </row>
    <row r="416" spans="1:8" x14ac:dyDescent="0.35">
      <c r="A416" s="2" t="s">
        <v>94</v>
      </c>
      <c r="B416" s="11">
        <v>2014</v>
      </c>
      <c r="C416" s="1">
        <v>2.4</v>
      </c>
      <c r="D416" s="1">
        <v>1.6</v>
      </c>
      <c r="E416" s="7" t="s">
        <v>186</v>
      </c>
      <c r="F416" s="7" t="s">
        <v>268</v>
      </c>
      <c r="G416" s="1" t="str">
        <f t="shared" si="12"/>
        <v>Holly</v>
      </c>
      <c r="H416" s="1" t="str">
        <f t="shared" si="13"/>
        <v>20</v>
      </c>
    </row>
    <row r="417" spans="1:8" x14ac:dyDescent="0.35">
      <c r="A417" s="2" t="s">
        <v>95</v>
      </c>
      <c r="B417" s="11">
        <v>2014</v>
      </c>
      <c r="C417" s="1">
        <v>3.6</v>
      </c>
      <c r="D417" s="1">
        <v>3.9</v>
      </c>
      <c r="E417" s="7" t="s">
        <v>186</v>
      </c>
      <c r="F417" s="7" t="s">
        <v>269</v>
      </c>
      <c r="G417" s="1" t="str">
        <f t="shared" si="12"/>
        <v>Bert</v>
      </c>
      <c r="H417" s="1" t="str">
        <f t="shared" si="13"/>
        <v>22</v>
      </c>
    </row>
    <row r="418" spans="1:8" x14ac:dyDescent="0.35">
      <c r="A418" s="2" t="s">
        <v>96</v>
      </c>
      <c r="B418" s="11">
        <v>2014</v>
      </c>
      <c r="C418" s="1">
        <v>3.8</v>
      </c>
      <c r="D418" s="1">
        <v>1.2</v>
      </c>
      <c r="E418" s="7" t="s">
        <v>186</v>
      </c>
      <c r="F418" s="7" t="s">
        <v>270</v>
      </c>
      <c r="G418" s="1" t="str">
        <f t="shared" si="12"/>
        <v>Rogelio</v>
      </c>
      <c r="H418" s="1" t="str">
        <f t="shared" si="13"/>
        <v>20</v>
      </c>
    </row>
    <row r="419" spans="1:8" x14ac:dyDescent="0.35">
      <c r="A419" s="2" t="s">
        <v>97</v>
      </c>
      <c r="B419" s="11">
        <v>2014</v>
      </c>
      <c r="C419" s="1">
        <v>4.8</v>
      </c>
      <c r="D419" s="1">
        <v>1.4</v>
      </c>
      <c r="E419" s="7" t="s">
        <v>186</v>
      </c>
      <c r="F419" s="7" t="s">
        <v>271</v>
      </c>
      <c r="G419" s="1" t="str">
        <f t="shared" si="12"/>
        <v>Terence</v>
      </c>
      <c r="H419" s="1" t="str">
        <f t="shared" si="13"/>
        <v>40</v>
      </c>
    </row>
    <row r="420" spans="1:8" x14ac:dyDescent="0.35">
      <c r="A420" s="2" t="s">
        <v>98</v>
      </c>
      <c r="B420" s="11">
        <v>2014</v>
      </c>
      <c r="C420" s="1">
        <v>2.2000000000000002</v>
      </c>
      <c r="D420" s="1">
        <v>2.4</v>
      </c>
      <c r="E420" s="7" t="s">
        <v>195</v>
      </c>
      <c r="F420" s="7" t="s">
        <v>272</v>
      </c>
      <c r="G420" s="1" t="str">
        <f t="shared" si="12"/>
        <v>Percy</v>
      </c>
      <c r="H420" s="1" t="str">
        <f t="shared" si="13"/>
        <v>22</v>
      </c>
    </row>
    <row r="421" spans="1:8" x14ac:dyDescent="0.35">
      <c r="A421" s="2" t="s">
        <v>99</v>
      </c>
      <c r="B421" s="11">
        <v>2014</v>
      </c>
      <c r="C421" s="1">
        <v>1.1000000000000001</v>
      </c>
      <c r="D421" s="1">
        <v>3.6</v>
      </c>
      <c r="E421" s="7" t="s">
        <v>186</v>
      </c>
      <c r="F421" s="7" t="s">
        <v>273</v>
      </c>
      <c r="G421" s="1" t="str">
        <f t="shared" si="12"/>
        <v>Santiago</v>
      </c>
      <c r="H421" s="1" t="str">
        <f t="shared" si="13"/>
        <v>02</v>
      </c>
    </row>
    <row r="422" spans="1:8" x14ac:dyDescent="0.35">
      <c r="A422" s="2" t="s">
        <v>100</v>
      </c>
      <c r="B422" s="11">
        <v>2014</v>
      </c>
      <c r="C422" s="1">
        <v>1.6</v>
      </c>
      <c r="D422" s="1">
        <v>1.4</v>
      </c>
      <c r="E422" s="7" t="s">
        <v>186</v>
      </c>
      <c r="F422" s="7" t="s">
        <v>274</v>
      </c>
      <c r="G422" s="1" t="str">
        <f t="shared" si="12"/>
        <v>Alonzo</v>
      </c>
      <c r="H422" s="1" t="str">
        <f t="shared" si="13"/>
        <v>00</v>
      </c>
    </row>
    <row r="423" spans="1:8" x14ac:dyDescent="0.35">
      <c r="A423" s="2" t="s">
        <v>101</v>
      </c>
      <c r="B423" s="11">
        <v>2014</v>
      </c>
      <c r="C423" s="1">
        <v>4.5999999999999996</v>
      </c>
      <c r="D423" s="1">
        <v>3.1</v>
      </c>
      <c r="E423" s="7" t="s">
        <v>186</v>
      </c>
      <c r="F423" s="7" t="s">
        <v>275</v>
      </c>
      <c r="G423" s="1" t="str">
        <f t="shared" si="12"/>
        <v>Josh</v>
      </c>
      <c r="H423" s="1" t="str">
        <f t="shared" si="13"/>
        <v>42</v>
      </c>
    </row>
    <row r="424" spans="1:8" x14ac:dyDescent="0.35">
      <c r="A424" s="2" t="s">
        <v>102</v>
      </c>
      <c r="B424" s="11">
        <v>2014</v>
      </c>
      <c r="C424" s="1">
        <v>3.5</v>
      </c>
      <c r="D424" s="1">
        <v>1.9</v>
      </c>
      <c r="E424" s="7" t="s">
        <v>186</v>
      </c>
      <c r="F424" s="7" t="s">
        <v>276</v>
      </c>
      <c r="G424" s="1" t="str">
        <f t="shared" si="12"/>
        <v>Ignacio</v>
      </c>
      <c r="H424" s="1" t="str">
        <f t="shared" si="13"/>
        <v>20</v>
      </c>
    </row>
    <row r="425" spans="1:8" x14ac:dyDescent="0.35">
      <c r="A425" s="2" t="s">
        <v>103</v>
      </c>
      <c r="B425" s="11">
        <v>2014</v>
      </c>
      <c r="C425" s="1">
        <v>2.7</v>
      </c>
      <c r="D425" s="1">
        <v>3.7</v>
      </c>
      <c r="E425" s="7" t="s">
        <v>186</v>
      </c>
      <c r="F425" s="7" t="s">
        <v>277</v>
      </c>
      <c r="G425" s="1" t="str">
        <f t="shared" si="12"/>
        <v>Ramiro</v>
      </c>
      <c r="H425" s="1" t="str">
        <f t="shared" si="13"/>
        <v>22</v>
      </c>
    </row>
    <row r="426" spans="1:8" x14ac:dyDescent="0.35">
      <c r="A426" s="2" t="s">
        <v>104</v>
      </c>
      <c r="B426" s="11">
        <v>2014</v>
      </c>
      <c r="C426" s="1">
        <v>1.3</v>
      </c>
      <c r="D426" s="1">
        <v>1</v>
      </c>
      <c r="E426" s="7" t="s">
        <v>186</v>
      </c>
      <c r="F426" s="7" t="s">
        <v>278</v>
      </c>
      <c r="G426" s="1" t="str">
        <f t="shared" si="12"/>
        <v>Conrad</v>
      </c>
      <c r="H426" s="1" t="str">
        <f t="shared" si="13"/>
        <v>00</v>
      </c>
    </row>
    <row r="427" spans="1:8" x14ac:dyDescent="0.35">
      <c r="A427" s="2" t="s">
        <v>105</v>
      </c>
      <c r="B427" s="11">
        <v>2014</v>
      </c>
      <c r="C427" s="1">
        <v>2</v>
      </c>
      <c r="D427" s="1">
        <v>2.8</v>
      </c>
      <c r="E427" s="7" t="s">
        <v>186</v>
      </c>
      <c r="F427" s="7" t="s">
        <v>279</v>
      </c>
      <c r="G427" s="1" t="str">
        <f t="shared" si="12"/>
        <v>Pat</v>
      </c>
      <c r="H427" s="1" t="str">
        <f t="shared" si="13"/>
        <v>22</v>
      </c>
    </row>
    <row r="428" spans="1:8" x14ac:dyDescent="0.35">
      <c r="A428" s="2" t="s">
        <v>106</v>
      </c>
      <c r="B428" s="11">
        <v>2014</v>
      </c>
      <c r="C428" s="1">
        <v>3.6</v>
      </c>
      <c r="D428" s="1">
        <v>2.5</v>
      </c>
      <c r="E428" s="7" t="s">
        <v>195</v>
      </c>
      <c r="F428" s="7" t="s">
        <v>280</v>
      </c>
      <c r="G428" s="1" t="str">
        <f t="shared" si="12"/>
        <v>Darin</v>
      </c>
      <c r="H428" s="1" t="str">
        <f t="shared" si="13"/>
        <v>22</v>
      </c>
    </row>
    <row r="429" spans="1:8" x14ac:dyDescent="0.35">
      <c r="A429" s="2" t="s">
        <v>107</v>
      </c>
      <c r="B429" s="11">
        <v>2014</v>
      </c>
      <c r="C429" s="1">
        <v>3.5</v>
      </c>
      <c r="D429" s="1">
        <v>2.8</v>
      </c>
      <c r="E429" s="7" t="s">
        <v>195</v>
      </c>
      <c r="F429" s="7" t="s">
        <v>281</v>
      </c>
      <c r="G429" s="1" t="str">
        <f t="shared" si="12"/>
        <v>Amos</v>
      </c>
      <c r="H429" s="1" t="str">
        <f t="shared" si="13"/>
        <v>22</v>
      </c>
    </row>
    <row r="430" spans="1:8" x14ac:dyDescent="0.35">
      <c r="A430" s="2" t="s">
        <v>108</v>
      </c>
      <c r="B430" s="11">
        <v>2014</v>
      </c>
      <c r="C430" s="1">
        <v>2.8</v>
      </c>
      <c r="D430" s="1">
        <v>1.1000000000000001</v>
      </c>
      <c r="E430" s="7" t="s">
        <v>183</v>
      </c>
      <c r="F430" s="7" t="s">
        <v>282</v>
      </c>
      <c r="G430" s="1" t="str">
        <f t="shared" si="12"/>
        <v>Eldon</v>
      </c>
      <c r="H430" s="1" t="str">
        <f t="shared" si="13"/>
        <v>20</v>
      </c>
    </row>
    <row r="431" spans="1:8" x14ac:dyDescent="0.35">
      <c r="A431" s="2" t="s">
        <v>109</v>
      </c>
      <c r="B431" s="11">
        <v>2014</v>
      </c>
      <c r="C431" s="1">
        <v>1.8</v>
      </c>
      <c r="D431" s="1">
        <v>1.9</v>
      </c>
      <c r="E431" s="7" t="s">
        <v>195</v>
      </c>
      <c r="F431" s="7" t="s">
        <v>283</v>
      </c>
      <c r="G431" s="1" t="str">
        <f t="shared" si="12"/>
        <v>Dominick</v>
      </c>
      <c r="H431" s="1" t="str">
        <f t="shared" si="13"/>
        <v>00</v>
      </c>
    </row>
    <row r="432" spans="1:8" x14ac:dyDescent="0.35">
      <c r="A432" s="2" t="s">
        <v>110</v>
      </c>
      <c r="B432" s="11">
        <v>2014</v>
      </c>
      <c r="C432" s="1">
        <v>3.3</v>
      </c>
      <c r="D432" s="1">
        <v>2.7</v>
      </c>
      <c r="E432" s="7" t="s">
        <v>195</v>
      </c>
      <c r="F432" s="7" t="s">
        <v>284</v>
      </c>
      <c r="G432" s="1" t="str">
        <f t="shared" si="12"/>
        <v>Van</v>
      </c>
      <c r="H432" s="1" t="str">
        <f t="shared" si="13"/>
        <v>22</v>
      </c>
    </row>
    <row r="433" spans="1:8" x14ac:dyDescent="0.35">
      <c r="A433" s="2" t="s">
        <v>111</v>
      </c>
      <c r="B433" s="11">
        <v>2014</v>
      </c>
      <c r="C433" s="1">
        <v>0.5</v>
      </c>
      <c r="D433" s="1">
        <v>1.4</v>
      </c>
      <c r="E433" s="7" t="s">
        <v>195</v>
      </c>
      <c r="F433" s="7" t="s">
        <v>285</v>
      </c>
      <c r="G433" s="1" t="str">
        <f t="shared" si="12"/>
        <v>Saul</v>
      </c>
      <c r="H433" s="1" t="str">
        <f t="shared" si="13"/>
        <v>00</v>
      </c>
    </row>
    <row r="434" spans="1:8" x14ac:dyDescent="0.35">
      <c r="A434" s="2" t="s">
        <v>112</v>
      </c>
      <c r="B434" s="11">
        <v>2014</v>
      </c>
      <c r="C434" s="1">
        <v>2.5</v>
      </c>
      <c r="D434" s="1">
        <v>3.3</v>
      </c>
      <c r="E434" s="7" t="s">
        <v>195</v>
      </c>
      <c r="F434" s="7" t="s">
        <v>286</v>
      </c>
      <c r="G434" s="1" t="str">
        <f t="shared" si="12"/>
        <v>Clifton</v>
      </c>
      <c r="H434" s="1" t="str">
        <f t="shared" si="13"/>
        <v>22</v>
      </c>
    </row>
    <row r="435" spans="1:8" x14ac:dyDescent="0.35">
      <c r="A435" s="2" t="s">
        <v>113</v>
      </c>
      <c r="B435" s="11">
        <v>2014</v>
      </c>
      <c r="C435" s="1">
        <v>3.8</v>
      </c>
      <c r="D435" s="1">
        <v>2.9</v>
      </c>
      <c r="E435" s="7" t="s">
        <v>195</v>
      </c>
      <c r="F435" s="7" t="s">
        <v>287</v>
      </c>
      <c r="G435" s="1" t="str">
        <f t="shared" si="12"/>
        <v>Willard</v>
      </c>
      <c r="H435" s="1" t="str">
        <f t="shared" si="13"/>
        <v>22</v>
      </c>
    </row>
    <row r="436" spans="1:8" x14ac:dyDescent="0.35">
      <c r="A436" s="2" t="s">
        <v>114</v>
      </c>
      <c r="B436" s="11">
        <v>2014</v>
      </c>
      <c r="C436" s="1">
        <v>2.2000000000000002</v>
      </c>
      <c r="D436" s="1">
        <v>4.5999999999999996</v>
      </c>
      <c r="E436" s="7" t="s">
        <v>183</v>
      </c>
      <c r="F436" s="7" t="s">
        <v>288</v>
      </c>
      <c r="G436" s="1" t="str">
        <f t="shared" si="12"/>
        <v>Will</v>
      </c>
      <c r="H436" s="1" t="str">
        <f t="shared" si="13"/>
        <v>24</v>
      </c>
    </row>
    <row r="437" spans="1:8" x14ac:dyDescent="0.35">
      <c r="A437" s="2" t="s">
        <v>115</v>
      </c>
      <c r="B437" s="11">
        <v>2014</v>
      </c>
      <c r="C437" s="1">
        <v>4.8</v>
      </c>
      <c r="D437" s="1">
        <v>2.9</v>
      </c>
      <c r="E437" s="7" t="s">
        <v>183</v>
      </c>
      <c r="F437" s="7" t="s">
        <v>289</v>
      </c>
      <c r="G437" s="1" t="str">
        <f t="shared" si="12"/>
        <v>Morgan</v>
      </c>
      <c r="H437" s="1" t="str">
        <f t="shared" si="13"/>
        <v>42</v>
      </c>
    </row>
    <row r="438" spans="1:8" x14ac:dyDescent="0.35">
      <c r="A438" s="2" t="s">
        <v>116</v>
      </c>
      <c r="B438" s="11">
        <v>2014</v>
      </c>
      <c r="C438" s="1">
        <v>0.3</v>
      </c>
      <c r="D438" s="1">
        <v>2.6</v>
      </c>
      <c r="E438" s="7" t="s">
        <v>183</v>
      </c>
      <c r="F438" s="7" t="s">
        <v>290</v>
      </c>
      <c r="G438" s="1" t="str">
        <f t="shared" si="12"/>
        <v>Jeanette</v>
      </c>
      <c r="H438" s="1" t="str">
        <f t="shared" si="13"/>
        <v>02</v>
      </c>
    </row>
    <row r="439" spans="1:8" x14ac:dyDescent="0.35">
      <c r="A439" s="2" t="s">
        <v>117</v>
      </c>
      <c r="B439" s="11">
        <v>2014</v>
      </c>
      <c r="C439" s="1">
        <v>2.6</v>
      </c>
      <c r="D439" s="1">
        <v>1.3</v>
      </c>
      <c r="E439" s="7" t="s">
        <v>183</v>
      </c>
      <c r="F439" s="7" t="s">
        <v>291</v>
      </c>
      <c r="G439" s="1" t="str">
        <f t="shared" si="12"/>
        <v>Shannon</v>
      </c>
      <c r="H439" s="1" t="str">
        <f t="shared" si="13"/>
        <v>20</v>
      </c>
    </row>
    <row r="440" spans="1:8" x14ac:dyDescent="0.35">
      <c r="A440" s="2" t="s">
        <v>118</v>
      </c>
      <c r="B440" s="11">
        <v>2014</v>
      </c>
      <c r="C440" s="1">
        <v>3.6</v>
      </c>
      <c r="D440" s="1">
        <v>1.3</v>
      </c>
      <c r="E440" s="7" t="s">
        <v>183</v>
      </c>
      <c r="F440" s="7" t="s">
        <v>292</v>
      </c>
      <c r="G440" s="1" t="str">
        <f t="shared" si="12"/>
        <v>Laurie</v>
      </c>
      <c r="H440" s="1" t="str">
        <f t="shared" si="13"/>
        <v>20</v>
      </c>
    </row>
    <row r="441" spans="1:8" x14ac:dyDescent="0.35">
      <c r="A441" s="2" t="s">
        <v>119</v>
      </c>
      <c r="B441" s="11">
        <v>2014</v>
      </c>
      <c r="C441" s="1">
        <v>3.1</v>
      </c>
      <c r="D441" s="1">
        <v>2.1</v>
      </c>
      <c r="E441" s="7" t="s">
        <v>181</v>
      </c>
      <c r="F441" s="7" t="s">
        <v>293</v>
      </c>
      <c r="G441" s="1" t="str">
        <f t="shared" si="12"/>
        <v>Trent</v>
      </c>
      <c r="H441" s="1" t="str">
        <f t="shared" si="13"/>
        <v>22</v>
      </c>
    </row>
    <row r="442" spans="1:8" x14ac:dyDescent="0.35">
      <c r="A442" s="2" t="s">
        <v>120</v>
      </c>
      <c r="B442" s="11">
        <v>2014</v>
      </c>
      <c r="C442" s="1">
        <v>2.4</v>
      </c>
      <c r="D442" s="1">
        <v>0.5</v>
      </c>
      <c r="E442" s="7" t="s">
        <v>195</v>
      </c>
      <c r="F442" s="7" t="s">
        <v>294</v>
      </c>
      <c r="G442" s="1" t="str">
        <f t="shared" si="12"/>
        <v>Brendan</v>
      </c>
      <c r="H442" s="1" t="str">
        <f t="shared" si="13"/>
        <v>20</v>
      </c>
    </row>
    <row r="443" spans="1:8" x14ac:dyDescent="0.35">
      <c r="A443" s="2" t="s">
        <v>121</v>
      </c>
      <c r="B443" s="11">
        <v>2014</v>
      </c>
      <c r="C443" s="1">
        <v>4.8</v>
      </c>
      <c r="D443" s="1">
        <v>4.0999999999999996</v>
      </c>
      <c r="E443" s="7" t="s">
        <v>186</v>
      </c>
      <c r="F443" s="7" t="s">
        <v>295</v>
      </c>
      <c r="G443" s="1" t="str">
        <f t="shared" si="12"/>
        <v>Toby</v>
      </c>
      <c r="H443" s="1" t="str">
        <f t="shared" si="13"/>
        <v>44</v>
      </c>
    </row>
    <row r="444" spans="1:8" x14ac:dyDescent="0.35">
      <c r="A444" s="2" t="s">
        <v>122</v>
      </c>
      <c r="B444" s="11">
        <v>2014</v>
      </c>
      <c r="C444" s="1">
        <v>2.4</v>
      </c>
      <c r="D444" s="1">
        <v>1</v>
      </c>
      <c r="E444" s="7" t="s">
        <v>195</v>
      </c>
      <c r="F444" s="7" t="s">
        <v>296</v>
      </c>
      <c r="G444" s="1" t="str">
        <f t="shared" si="12"/>
        <v>Domingo</v>
      </c>
      <c r="H444" s="1" t="str">
        <f t="shared" si="13"/>
        <v>20</v>
      </c>
    </row>
    <row r="445" spans="1:8" x14ac:dyDescent="0.35">
      <c r="A445" s="2" t="s">
        <v>123</v>
      </c>
      <c r="B445" s="11">
        <v>2014</v>
      </c>
      <c r="C445" s="1">
        <v>4</v>
      </c>
      <c r="D445" s="1">
        <v>1.8</v>
      </c>
      <c r="E445" s="7" t="s">
        <v>195</v>
      </c>
      <c r="F445" s="7" t="s">
        <v>297</v>
      </c>
      <c r="G445" s="1" t="str">
        <f t="shared" si="12"/>
        <v>Santos</v>
      </c>
      <c r="H445" s="1" t="str">
        <f t="shared" si="13"/>
        <v>40</v>
      </c>
    </row>
    <row r="446" spans="1:8" x14ac:dyDescent="0.35">
      <c r="A446" s="2" t="s">
        <v>124</v>
      </c>
      <c r="B446" s="11">
        <v>2014</v>
      </c>
      <c r="C446" s="1">
        <v>0.9</v>
      </c>
      <c r="D446" s="1">
        <v>2.5</v>
      </c>
      <c r="E446" s="7" t="s">
        <v>186</v>
      </c>
      <c r="F446" s="7" t="s">
        <v>298</v>
      </c>
      <c r="G446" s="1" t="str">
        <f t="shared" si="12"/>
        <v>Cary</v>
      </c>
      <c r="H446" s="1" t="str">
        <f t="shared" si="13"/>
        <v>02</v>
      </c>
    </row>
    <row r="447" spans="1:8" x14ac:dyDescent="0.35">
      <c r="A447" s="2" t="s">
        <v>125</v>
      </c>
      <c r="B447" s="11">
        <v>2014</v>
      </c>
      <c r="C447" s="1">
        <v>3.7</v>
      </c>
      <c r="D447" s="1">
        <v>3.1</v>
      </c>
      <c r="E447" s="7" t="s">
        <v>186</v>
      </c>
      <c r="F447" s="7" t="s">
        <v>299</v>
      </c>
      <c r="G447" s="1" t="str">
        <f t="shared" si="12"/>
        <v>Simon</v>
      </c>
      <c r="H447" s="1" t="str">
        <f t="shared" si="13"/>
        <v>22</v>
      </c>
    </row>
    <row r="448" spans="1:8" x14ac:dyDescent="0.35">
      <c r="A448" s="2" t="s">
        <v>126</v>
      </c>
      <c r="B448" s="11">
        <v>2014</v>
      </c>
      <c r="C448" s="1">
        <v>0.1</v>
      </c>
      <c r="D448" s="1">
        <v>1.8</v>
      </c>
      <c r="E448" s="7" t="s">
        <v>195</v>
      </c>
      <c r="F448" s="7" t="s">
        <v>300</v>
      </c>
      <c r="G448" s="1" t="str">
        <f t="shared" si="12"/>
        <v>Marshall</v>
      </c>
      <c r="H448" s="1" t="str">
        <f t="shared" si="13"/>
        <v>00</v>
      </c>
    </row>
    <row r="449" spans="1:8" x14ac:dyDescent="0.35">
      <c r="A449" s="2" t="s">
        <v>127</v>
      </c>
      <c r="B449" s="11">
        <v>2014</v>
      </c>
      <c r="C449" s="1">
        <v>3.4</v>
      </c>
      <c r="D449" s="1">
        <v>4.5</v>
      </c>
      <c r="E449" s="7" t="s">
        <v>183</v>
      </c>
      <c r="F449" s="7" t="s">
        <v>301</v>
      </c>
      <c r="G449" s="1" t="str">
        <f t="shared" si="12"/>
        <v>Emanuel</v>
      </c>
      <c r="H449" s="1" t="str">
        <f t="shared" si="13"/>
        <v>24</v>
      </c>
    </row>
    <row r="450" spans="1:8" x14ac:dyDescent="0.35">
      <c r="A450" s="2" t="s">
        <v>128</v>
      </c>
      <c r="B450" s="11">
        <v>2014</v>
      </c>
      <c r="C450" s="1">
        <v>1.2</v>
      </c>
      <c r="D450" s="1">
        <v>5</v>
      </c>
      <c r="E450" s="7" t="s">
        <v>195</v>
      </c>
      <c r="F450" s="7" t="s">
        <v>302</v>
      </c>
      <c r="G450" s="1" t="str">
        <f t="shared" ref="G450:G499" si="14">LEFT(F450,FIND(" ",F450)-1)</f>
        <v>Courtney</v>
      </c>
      <c r="H450" s="1" t="str">
        <f t="shared" ref="H450:H499" si="15">FLOOR(C450,2)&amp;FLOOR(D450,2)</f>
        <v>04</v>
      </c>
    </row>
    <row r="451" spans="1:8" x14ac:dyDescent="0.35">
      <c r="A451" s="2" t="s">
        <v>129</v>
      </c>
      <c r="B451" s="11">
        <v>2014</v>
      </c>
      <c r="C451" s="1">
        <v>3.4</v>
      </c>
      <c r="D451" s="1">
        <v>1.8</v>
      </c>
      <c r="E451" s="7" t="s">
        <v>195</v>
      </c>
      <c r="F451" s="7" t="s">
        <v>303</v>
      </c>
      <c r="G451" s="1" t="str">
        <f t="shared" si="14"/>
        <v>Daryl</v>
      </c>
      <c r="H451" s="1" t="str">
        <f t="shared" si="15"/>
        <v>20</v>
      </c>
    </row>
    <row r="452" spans="1:8" x14ac:dyDescent="0.35">
      <c r="A452" s="2" t="s">
        <v>130</v>
      </c>
      <c r="B452" s="11">
        <v>2014</v>
      </c>
      <c r="C452" s="1">
        <v>0.8</v>
      </c>
      <c r="D452" s="1">
        <v>2.1</v>
      </c>
      <c r="E452" s="7" t="s">
        <v>195</v>
      </c>
      <c r="F452" s="7" t="s">
        <v>304</v>
      </c>
      <c r="G452" s="1" t="str">
        <f t="shared" si="14"/>
        <v>Jan</v>
      </c>
      <c r="H452" s="1" t="str">
        <f t="shared" si="15"/>
        <v>02</v>
      </c>
    </row>
    <row r="453" spans="1:8" x14ac:dyDescent="0.35">
      <c r="A453" s="2" t="s">
        <v>131</v>
      </c>
      <c r="B453" s="11">
        <v>2014</v>
      </c>
      <c r="C453" s="1">
        <v>2.2000000000000002</v>
      </c>
      <c r="D453" s="1">
        <v>1.2</v>
      </c>
      <c r="E453" s="7" t="s">
        <v>183</v>
      </c>
      <c r="F453" s="7" t="s">
        <v>305</v>
      </c>
      <c r="G453" s="1" t="str">
        <f t="shared" si="14"/>
        <v>Brittany</v>
      </c>
      <c r="H453" s="1" t="str">
        <f t="shared" si="15"/>
        <v>20</v>
      </c>
    </row>
    <row r="454" spans="1:8" x14ac:dyDescent="0.35">
      <c r="A454" s="2" t="s">
        <v>132</v>
      </c>
      <c r="B454" s="11">
        <v>2014</v>
      </c>
      <c r="C454" s="1">
        <v>2.8</v>
      </c>
      <c r="D454" s="1">
        <v>3.2</v>
      </c>
      <c r="E454" s="7" t="s">
        <v>183</v>
      </c>
      <c r="F454" s="7" t="s">
        <v>306</v>
      </c>
      <c r="G454" s="1" t="str">
        <f t="shared" si="14"/>
        <v>Demetrius</v>
      </c>
      <c r="H454" s="1" t="str">
        <f t="shared" si="15"/>
        <v>22</v>
      </c>
    </row>
    <row r="455" spans="1:8" x14ac:dyDescent="0.35">
      <c r="A455" s="2" t="s">
        <v>133</v>
      </c>
      <c r="B455" s="11">
        <v>2014</v>
      </c>
      <c r="C455" s="1">
        <v>4.2</v>
      </c>
      <c r="D455" s="1">
        <v>1.1000000000000001</v>
      </c>
      <c r="E455" s="7" t="s">
        <v>181</v>
      </c>
      <c r="F455" s="7" t="s">
        <v>307</v>
      </c>
      <c r="G455" s="1" t="str">
        <f t="shared" si="14"/>
        <v>Irving</v>
      </c>
      <c r="H455" s="1" t="str">
        <f t="shared" si="15"/>
        <v>40</v>
      </c>
    </row>
    <row r="456" spans="1:8" x14ac:dyDescent="0.35">
      <c r="A456" s="2" t="s">
        <v>134</v>
      </c>
      <c r="B456" s="11">
        <v>2014</v>
      </c>
      <c r="C456" s="1">
        <v>4</v>
      </c>
      <c r="D456" s="1">
        <v>4.2</v>
      </c>
      <c r="E456" s="7" t="s">
        <v>183</v>
      </c>
      <c r="F456" s="7" t="s">
        <v>308</v>
      </c>
      <c r="G456" s="1" t="str">
        <f t="shared" si="14"/>
        <v>Edmond</v>
      </c>
      <c r="H456" s="1" t="str">
        <f t="shared" si="15"/>
        <v>44</v>
      </c>
    </row>
    <row r="457" spans="1:8" x14ac:dyDescent="0.35">
      <c r="A457" s="2" t="s">
        <v>135</v>
      </c>
      <c r="B457" s="11">
        <v>2014</v>
      </c>
      <c r="C457" s="1">
        <v>3.8</v>
      </c>
      <c r="D457" s="1">
        <v>0.6</v>
      </c>
      <c r="E457" s="7" t="s">
        <v>183</v>
      </c>
      <c r="F457" s="7" t="s">
        <v>309</v>
      </c>
      <c r="G457" s="1" t="str">
        <f t="shared" si="14"/>
        <v>Yolanda</v>
      </c>
      <c r="H457" s="1" t="str">
        <f t="shared" si="15"/>
        <v>20</v>
      </c>
    </row>
    <row r="458" spans="1:8" x14ac:dyDescent="0.35">
      <c r="A458" s="2" t="s">
        <v>136</v>
      </c>
      <c r="B458" s="11">
        <v>2014</v>
      </c>
      <c r="C458" s="1">
        <v>0.6</v>
      </c>
      <c r="D458" s="1">
        <v>4.3</v>
      </c>
      <c r="E458" s="7" t="s">
        <v>195</v>
      </c>
      <c r="F458" s="7" t="s">
        <v>310</v>
      </c>
      <c r="G458" s="1" t="str">
        <f t="shared" si="14"/>
        <v>Randal</v>
      </c>
      <c r="H458" s="1" t="str">
        <f t="shared" si="15"/>
        <v>04</v>
      </c>
    </row>
    <row r="459" spans="1:8" x14ac:dyDescent="0.35">
      <c r="A459" s="2" t="s">
        <v>137</v>
      </c>
      <c r="B459" s="11">
        <v>2014</v>
      </c>
      <c r="C459" s="1">
        <v>4.8</v>
      </c>
      <c r="D459" s="1">
        <v>0.5</v>
      </c>
      <c r="E459" s="7" t="s">
        <v>183</v>
      </c>
      <c r="F459" s="7" t="s">
        <v>311</v>
      </c>
      <c r="G459" s="1" t="str">
        <f t="shared" si="14"/>
        <v>Edith</v>
      </c>
      <c r="H459" s="1" t="str">
        <f t="shared" si="15"/>
        <v>40</v>
      </c>
    </row>
    <row r="460" spans="1:8" x14ac:dyDescent="0.35">
      <c r="A460" s="2" t="s">
        <v>138</v>
      </c>
      <c r="B460" s="11">
        <v>2014</v>
      </c>
      <c r="C460" s="1">
        <v>2.9</v>
      </c>
      <c r="D460" s="1">
        <v>4.0999999999999996</v>
      </c>
      <c r="E460" s="7" t="s">
        <v>183</v>
      </c>
      <c r="F460" s="7" t="s">
        <v>312</v>
      </c>
      <c r="G460" s="1" t="str">
        <f t="shared" si="14"/>
        <v>Teddy</v>
      </c>
      <c r="H460" s="1" t="str">
        <f t="shared" si="15"/>
        <v>24</v>
      </c>
    </row>
    <row r="461" spans="1:8" x14ac:dyDescent="0.35">
      <c r="A461" s="2" t="s">
        <v>139</v>
      </c>
      <c r="B461" s="11">
        <v>2014</v>
      </c>
      <c r="C461" s="1">
        <v>1.8</v>
      </c>
      <c r="D461" s="1">
        <v>2.8</v>
      </c>
      <c r="E461" s="7" t="s">
        <v>183</v>
      </c>
      <c r="F461" s="7" t="s">
        <v>313</v>
      </c>
      <c r="G461" s="1" t="str">
        <f t="shared" si="14"/>
        <v>Kim</v>
      </c>
      <c r="H461" s="1" t="str">
        <f t="shared" si="15"/>
        <v>02</v>
      </c>
    </row>
    <row r="462" spans="1:8" x14ac:dyDescent="0.35">
      <c r="A462" s="2" t="s">
        <v>140</v>
      </c>
      <c r="B462" s="11">
        <v>2014</v>
      </c>
      <c r="C462" s="1">
        <v>2.9</v>
      </c>
      <c r="D462" s="1">
        <v>1.2</v>
      </c>
      <c r="E462" s="7" t="s">
        <v>183</v>
      </c>
      <c r="F462" s="7" t="s">
        <v>314</v>
      </c>
      <c r="G462" s="1" t="str">
        <f t="shared" si="14"/>
        <v>Sherry</v>
      </c>
      <c r="H462" s="1" t="str">
        <f t="shared" si="15"/>
        <v>20</v>
      </c>
    </row>
    <row r="463" spans="1:8" x14ac:dyDescent="0.35">
      <c r="A463" s="2" t="s">
        <v>141</v>
      </c>
      <c r="B463" s="11">
        <v>2014</v>
      </c>
      <c r="C463" s="1">
        <v>3</v>
      </c>
      <c r="D463" s="1">
        <v>4</v>
      </c>
      <c r="E463" s="7" t="s">
        <v>183</v>
      </c>
      <c r="F463" s="7" t="s">
        <v>315</v>
      </c>
      <c r="G463" s="1" t="str">
        <f t="shared" si="14"/>
        <v>Salvador</v>
      </c>
      <c r="H463" s="1" t="str">
        <f t="shared" si="15"/>
        <v>24</v>
      </c>
    </row>
    <row r="464" spans="1:8" x14ac:dyDescent="0.35">
      <c r="A464" s="2" t="s">
        <v>142</v>
      </c>
      <c r="B464" s="11">
        <v>2014</v>
      </c>
      <c r="C464" s="1">
        <v>3.2</v>
      </c>
      <c r="D464" s="1">
        <v>3.8</v>
      </c>
      <c r="E464" s="7" t="s">
        <v>183</v>
      </c>
      <c r="F464" s="7" t="s">
        <v>316</v>
      </c>
      <c r="G464" s="1" t="str">
        <f t="shared" si="14"/>
        <v>Kirk</v>
      </c>
      <c r="H464" s="1" t="str">
        <f t="shared" si="15"/>
        <v>22</v>
      </c>
    </row>
    <row r="465" spans="1:8" x14ac:dyDescent="0.35">
      <c r="A465" s="2" t="s">
        <v>143</v>
      </c>
      <c r="B465" s="11">
        <v>2014</v>
      </c>
      <c r="C465" s="1">
        <v>3.1</v>
      </c>
      <c r="D465" s="1">
        <v>4.3</v>
      </c>
      <c r="E465" s="7" t="s">
        <v>183</v>
      </c>
      <c r="F465" s="7" t="s">
        <v>317</v>
      </c>
      <c r="G465" s="1" t="str">
        <f t="shared" si="14"/>
        <v>Johnnie</v>
      </c>
      <c r="H465" s="1" t="str">
        <f t="shared" si="15"/>
        <v>24</v>
      </c>
    </row>
    <row r="466" spans="1:8" x14ac:dyDescent="0.35">
      <c r="A466" s="2" t="s">
        <v>144</v>
      </c>
      <c r="B466" s="11">
        <v>2014</v>
      </c>
      <c r="C466" s="1">
        <v>0.4</v>
      </c>
      <c r="D466" s="1">
        <v>3.2</v>
      </c>
      <c r="E466" s="7" t="s">
        <v>183</v>
      </c>
      <c r="F466" s="7" t="s">
        <v>318</v>
      </c>
      <c r="G466" s="1" t="str">
        <f t="shared" si="14"/>
        <v>Sidney</v>
      </c>
      <c r="H466" s="1" t="str">
        <f t="shared" si="15"/>
        <v>02</v>
      </c>
    </row>
    <row r="467" spans="1:8" x14ac:dyDescent="0.35">
      <c r="A467" s="2" t="s">
        <v>145</v>
      </c>
      <c r="B467" s="11">
        <v>2014</v>
      </c>
      <c r="C467" s="1">
        <v>2.2999999999999998</v>
      </c>
      <c r="D467" s="1">
        <v>1.9</v>
      </c>
      <c r="E467" s="7" t="s">
        <v>183</v>
      </c>
      <c r="F467" s="7" t="s">
        <v>319</v>
      </c>
      <c r="G467" s="1" t="str">
        <f t="shared" si="14"/>
        <v>Grace</v>
      </c>
      <c r="H467" s="1" t="str">
        <f t="shared" si="15"/>
        <v>20</v>
      </c>
    </row>
    <row r="468" spans="1:8" x14ac:dyDescent="0.35">
      <c r="A468" s="2" t="s">
        <v>146</v>
      </c>
      <c r="B468" s="11">
        <v>2014</v>
      </c>
      <c r="C468" s="1">
        <v>4.0999999999999996</v>
      </c>
      <c r="D468" s="1">
        <v>2.4</v>
      </c>
      <c r="E468" s="7" t="s">
        <v>183</v>
      </c>
      <c r="F468" s="7" t="s">
        <v>320</v>
      </c>
      <c r="G468" s="1" t="str">
        <f t="shared" si="14"/>
        <v>Kristopher</v>
      </c>
      <c r="H468" s="1" t="str">
        <f t="shared" si="15"/>
        <v>42</v>
      </c>
    </row>
    <row r="469" spans="1:8" x14ac:dyDescent="0.35">
      <c r="A469" s="2" t="s">
        <v>147</v>
      </c>
      <c r="B469" s="11">
        <v>2014</v>
      </c>
      <c r="C469" s="1">
        <v>4.7</v>
      </c>
      <c r="D469" s="1">
        <v>5</v>
      </c>
      <c r="E469" s="7" t="s">
        <v>186</v>
      </c>
      <c r="F469" s="7" t="s">
        <v>321</v>
      </c>
      <c r="G469" s="1" t="str">
        <f t="shared" si="14"/>
        <v>Mack</v>
      </c>
      <c r="H469" s="1" t="str">
        <f t="shared" si="15"/>
        <v>44</v>
      </c>
    </row>
    <row r="470" spans="1:8" x14ac:dyDescent="0.35">
      <c r="A470" s="2" t="s">
        <v>148</v>
      </c>
      <c r="B470" s="11">
        <v>2014</v>
      </c>
      <c r="C470" s="1">
        <v>4.4000000000000004</v>
      </c>
      <c r="D470" s="1">
        <v>1.6</v>
      </c>
      <c r="E470" s="7" t="s">
        <v>186</v>
      </c>
      <c r="F470" s="7" t="s">
        <v>322</v>
      </c>
      <c r="G470" s="1" t="str">
        <f t="shared" si="14"/>
        <v>Gilberto</v>
      </c>
      <c r="H470" s="1" t="str">
        <f t="shared" si="15"/>
        <v>40</v>
      </c>
    </row>
    <row r="471" spans="1:8" x14ac:dyDescent="0.35">
      <c r="A471" s="2" t="s">
        <v>149</v>
      </c>
      <c r="B471" s="11">
        <v>2014</v>
      </c>
      <c r="C471" s="1">
        <v>0.3</v>
      </c>
      <c r="D471" s="1">
        <v>2</v>
      </c>
      <c r="E471" s="7" t="s">
        <v>186</v>
      </c>
      <c r="F471" s="7" t="s">
        <v>323</v>
      </c>
      <c r="G471" s="1" t="str">
        <f t="shared" si="14"/>
        <v>Dallas</v>
      </c>
      <c r="H471" s="1" t="str">
        <f t="shared" si="15"/>
        <v>02</v>
      </c>
    </row>
    <row r="472" spans="1:8" x14ac:dyDescent="0.35">
      <c r="A472" s="2" t="s">
        <v>150</v>
      </c>
      <c r="B472" s="11">
        <v>2014</v>
      </c>
      <c r="C472" s="1">
        <v>0.5</v>
      </c>
      <c r="D472" s="1">
        <v>1.4</v>
      </c>
      <c r="E472" s="7" t="s">
        <v>186</v>
      </c>
      <c r="F472" s="7" t="s">
        <v>324</v>
      </c>
      <c r="G472" s="1" t="str">
        <f t="shared" si="14"/>
        <v>Dewey</v>
      </c>
      <c r="H472" s="1" t="str">
        <f t="shared" si="15"/>
        <v>00</v>
      </c>
    </row>
    <row r="473" spans="1:8" x14ac:dyDescent="0.35">
      <c r="A473" s="2" t="s">
        <v>151</v>
      </c>
      <c r="B473" s="11">
        <v>2014</v>
      </c>
      <c r="C473" s="1">
        <v>2.6</v>
      </c>
      <c r="D473" s="1">
        <v>5</v>
      </c>
      <c r="E473" s="7" t="s">
        <v>186</v>
      </c>
      <c r="F473" s="7" t="s">
        <v>325</v>
      </c>
      <c r="G473" s="1" t="str">
        <f t="shared" si="14"/>
        <v>Clint</v>
      </c>
      <c r="H473" s="1" t="str">
        <f t="shared" si="15"/>
        <v>24</v>
      </c>
    </row>
    <row r="474" spans="1:8" x14ac:dyDescent="0.35">
      <c r="A474" s="2" t="s">
        <v>152</v>
      </c>
      <c r="B474" s="11">
        <v>2014</v>
      </c>
      <c r="C474" s="1">
        <v>2</v>
      </c>
      <c r="D474" s="1">
        <v>2</v>
      </c>
      <c r="E474" s="7" t="s">
        <v>186</v>
      </c>
      <c r="F474" s="7" t="s">
        <v>326</v>
      </c>
      <c r="G474" s="1" t="str">
        <f t="shared" si="14"/>
        <v>Nicolas</v>
      </c>
      <c r="H474" s="1" t="str">
        <f t="shared" si="15"/>
        <v>22</v>
      </c>
    </row>
    <row r="475" spans="1:8" x14ac:dyDescent="0.35">
      <c r="A475" s="2" t="s">
        <v>153</v>
      </c>
      <c r="B475" s="11">
        <v>2014</v>
      </c>
      <c r="C475" s="1">
        <v>3.4</v>
      </c>
      <c r="D475" s="1">
        <v>3.6</v>
      </c>
      <c r="E475" s="7" t="s">
        <v>186</v>
      </c>
      <c r="F475" s="7" t="s">
        <v>327</v>
      </c>
      <c r="G475" s="1" t="str">
        <f t="shared" si="14"/>
        <v>Laurence</v>
      </c>
      <c r="H475" s="1" t="str">
        <f t="shared" si="15"/>
        <v>22</v>
      </c>
    </row>
    <row r="476" spans="1:8" x14ac:dyDescent="0.35">
      <c r="A476" s="2" t="s">
        <v>154</v>
      </c>
      <c r="B476" s="11">
        <v>2014</v>
      </c>
      <c r="C476" s="1">
        <v>3.7</v>
      </c>
      <c r="D476" s="1">
        <v>3.9</v>
      </c>
      <c r="E476" s="7" t="s">
        <v>186</v>
      </c>
      <c r="F476" s="7" t="s">
        <v>328</v>
      </c>
      <c r="G476" s="1" t="str">
        <f t="shared" si="14"/>
        <v>Ismael</v>
      </c>
      <c r="H476" s="1" t="str">
        <f t="shared" si="15"/>
        <v>22</v>
      </c>
    </row>
    <row r="477" spans="1:8" x14ac:dyDescent="0.35">
      <c r="A477" s="2" t="s">
        <v>155</v>
      </c>
      <c r="B477" s="11">
        <v>2014</v>
      </c>
      <c r="C477" s="1">
        <v>2.9</v>
      </c>
      <c r="D477" s="1">
        <v>3.9</v>
      </c>
      <c r="E477" s="7" t="s">
        <v>186</v>
      </c>
      <c r="F477" s="7" t="s">
        <v>329</v>
      </c>
      <c r="G477" s="1" t="str">
        <f t="shared" si="14"/>
        <v>Orville</v>
      </c>
      <c r="H477" s="1" t="str">
        <f t="shared" si="15"/>
        <v>22</v>
      </c>
    </row>
    <row r="478" spans="1:8" x14ac:dyDescent="0.35">
      <c r="A478" s="2" t="s">
        <v>156</v>
      </c>
      <c r="B478" s="11">
        <v>2014</v>
      </c>
      <c r="C478" s="1">
        <v>2.7</v>
      </c>
      <c r="D478" s="1">
        <v>1.6</v>
      </c>
      <c r="E478" s="7" t="s">
        <v>186</v>
      </c>
      <c r="F478" s="7" t="s">
        <v>330</v>
      </c>
      <c r="G478" s="1" t="str">
        <f t="shared" si="14"/>
        <v>Drew</v>
      </c>
      <c r="H478" s="1" t="str">
        <f t="shared" si="15"/>
        <v>20</v>
      </c>
    </row>
    <row r="479" spans="1:8" x14ac:dyDescent="0.35">
      <c r="A479" s="2" t="s">
        <v>157</v>
      </c>
      <c r="B479" s="11">
        <v>2014</v>
      </c>
      <c r="C479" s="1">
        <v>2.2999999999999998</v>
      </c>
      <c r="D479" s="1">
        <v>1.2</v>
      </c>
      <c r="E479" s="7" t="s">
        <v>186</v>
      </c>
      <c r="F479" s="7" t="s">
        <v>331</v>
      </c>
      <c r="G479" s="1" t="str">
        <f t="shared" si="14"/>
        <v>Jody</v>
      </c>
      <c r="H479" s="1" t="str">
        <f t="shared" si="15"/>
        <v>20</v>
      </c>
    </row>
    <row r="480" spans="1:8" x14ac:dyDescent="0.35">
      <c r="A480" s="2" t="s">
        <v>158</v>
      </c>
      <c r="B480" s="11">
        <v>2014</v>
      </c>
      <c r="C480" s="1">
        <v>1.3</v>
      </c>
      <c r="D480" s="1">
        <v>0.7</v>
      </c>
      <c r="E480" s="7" t="s">
        <v>186</v>
      </c>
      <c r="F480" s="7" t="s">
        <v>332</v>
      </c>
      <c r="G480" s="1" t="str">
        <f t="shared" si="14"/>
        <v>Ervin</v>
      </c>
      <c r="H480" s="1" t="str">
        <f t="shared" si="15"/>
        <v>00</v>
      </c>
    </row>
    <row r="481" spans="1:8" x14ac:dyDescent="0.35">
      <c r="A481" s="2" t="s">
        <v>159</v>
      </c>
      <c r="B481" s="11">
        <v>2014</v>
      </c>
      <c r="C481" s="1">
        <v>3.1</v>
      </c>
      <c r="D481" s="1">
        <v>1.3</v>
      </c>
      <c r="E481" s="7" t="s">
        <v>183</v>
      </c>
      <c r="F481" s="7" t="s">
        <v>333</v>
      </c>
      <c r="G481" s="1" t="str">
        <f t="shared" si="14"/>
        <v>WALLY</v>
      </c>
      <c r="H481" s="1" t="str">
        <f t="shared" si="15"/>
        <v>20</v>
      </c>
    </row>
    <row r="482" spans="1:8" x14ac:dyDescent="0.35">
      <c r="A482" s="2" t="s">
        <v>160</v>
      </c>
      <c r="B482" s="11">
        <v>2014</v>
      </c>
      <c r="C482" s="1">
        <v>3.6</v>
      </c>
      <c r="D482" s="1">
        <v>2.5</v>
      </c>
      <c r="E482" s="7" t="s">
        <v>183</v>
      </c>
      <c r="F482" s="7" t="s">
        <v>334</v>
      </c>
      <c r="G482" s="1" t="str">
        <f t="shared" si="14"/>
        <v>Wendy</v>
      </c>
      <c r="H482" s="1" t="str">
        <f t="shared" si="15"/>
        <v>22</v>
      </c>
    </row>
    <row r="483" spans="1:8" x14ac:dyDescent="0.35">
      <c r="A483" s="2" t="s">
        <v>161</v>
      </c>
      <c r="B483" s="11">
        <v>2014</v>
      </c>
      <c r="C483" s="1">
        <v>2.6</v>
      </c>
      <c r="D483" s="1">
        <v>4.7</v>
      </c>
      <c r="E483" s="7" t="s">
        <v>183</v>
      </c>
      <c r="F483" s="7" t="s">
        <v>335</v>
      </c>
      <c r="G483" s="1" t="str">
        <f t="shared" si="14"/>
        <v>Emil</v>
      </c>
      <c r="H483" s="1" t="str">
        <f t="shared" si="15"/>
        <v>24</v>
      </c>
    </row>
    <row r="484" spans="1:8" x14ac:dyDescent="0.35">
      <c r="A484" s="2" t="s">
        <v>162</v>
      </c>
      <c r="B484" s="11">
        <v>2014</v>
      </c>
      <c r="C484" s="1">
        <v>3.1</v>
      </c>
      <c r="D484" s="1">
        <v>1.4</v>
      </c>
      <c r="E484" s="7" t="s">
        <v>181</v>
      </c>
      <c r="F484" s="7" t="s">
        <v>336</v>
      </c>
      <c r="G484" s="1" t="str">
        <f t="shared" si="14"/>
        <v>Emmanuel</v>
      </c>
      <c r="H484" s="1" t="str">
        <f t="shared" si="15"/>
        <v>20</v>
      </c>
    </row>
    <row r="485" spans="1:8" x14ac:dyDescent="0.35">
      <c r="A485" s="2" t="s">
        <v>163</v>
      </c>
      <c r="B485" s="11">
        <v>2014</v>
      </c>
      <c r="C485" s="1">
        <v>2.2000000000000002</v>
      </c>
      <c r="D485" s="1">
        <v>2.4</v>
      </c>
      <c r="E485" s="7" t="s">
        <v>181</v>
      </c>
      <c r="F485" s="7" t="s">
        <v>337</v>
      </c>
      <c r="G485" s="1" t="str">
        <f t="shared" si="14"/>
        <v>Roberta</v>
      </c>
      <c r="H485" s="1" t="str">
        <f t="shared" si="15"/>
        <v>22</v>
      </c>
    </row>
    <row r="486" spans="1:8" x14ac:dyDescent="0.35">
      <c r="A486" s="2" t="s">
        <v>164</v>
      </c>
      <c r="B486" s="11">
        <v>2014</v>
      </c>
      <c r="C486" s="1">
        <v>1</v>
      </c>
      <c r="D486" s="1">
        <v>1.7</v>
      </c>
      <c r="E486" s="7" t="s">
        <v>183</v>
      </c>
      <c r="F486" s="7" t="s">
        <v>338</v>
      </c>
      <c r="G486" s="1" t="str">
        <f t="shared" si="14"/>
        <v>Kristen</v>
      </c>
      <c r="H486" s="1" t="str">
        <f t="shared" si="15"/>
        <v>00</v>
      </c>
    </row>
    <row r="487" spans="1:8" x14ac:dyDescent="0.35">
      <c r="A487" s="2" t="s">
        <v>165</v>
      </c>
      <c r="B487" s="11">
        <v>2014</v>
      </c>
      <c r="C487" s="1">
        <v>2.4</v>
      </c>
      <c r="D487" s="1">
        <v>4.2</v>
      </c>
      <c r="E487" s="7" t="s">
        <v>183</v>
      </c>
      <c r="F487" s="7" t="s">
        <v>339</v>
      </c>
      <c r="G487" s="1" t="str">
        <f t="shared" si="14"/>
        <v>Heath</v>
      </c>
      <c r="H487" s="1" t="str">
        <f t="shared" si="15"/>
        <v>24</v>
      </c>
    </row>
    <row r="488" spans="1:8" x14ac:dyDescent="0.35">
      <c r="A488" s="2" t="s">
        <v>166</v>
      </c>
      <c r="B488" s="11">
        <v>2014</v>
      </c>
      <c r="C488" s="1">
        <v>4.2</v>
      </c>
      <c r="D488" s="1">
        <v>4.3</v>
      </c>
      <c r="E488" s="7" t="s">
        <v>186</v>
      </c>
      <c r="F488" s="7" t="s">
        <v>340</v>
      </c>
      <c r="G488" s="1" t="str">
        <f t="shared" si="14"/>
        <v>Sylvia</v>
      </c>
      <c r="H488" s="1" t="str">
        <f t="shared" si="15"/>
        <v>44</v>
      </c>
    </row>
    <row r="489" spans="1:8" x14ac:dyDescent="0.35">
      <c r="A489" s="2" t="s">
        <v>167</v>
      </c>
      <c r="B489" s="11">
        <v>2014</v>
      </c>
      <c r="C489" s="1">
        <v>1.4</v>
      </c>
      <c r="D489" s="1">
        <v>4.9000000000000004</v>
      </c>
      <c r="E489" s="7" t="s">
        <v>183</v>
      </c>
      <c r="F489" s="7" t="s">
        <v>341</v>
      </c>
      <c r="G489" s="1" t="str">
        <f t="shared" si="14"/>
        <v>Sergio</v>
      </c>
      <c r="H489" s="1" t="str">
        <f t="shared" si="15"/>
        <v>04</v>
      </c>
    </row>
    <row r="490" spans="1:8" x14ac:dyDescent="0.35">
      <c r="A490" s="2" t="s">
        <v>168</v>
      </c>
      <c r="B490" s="11">
        <v>2014</v>
      </c>
      <c r="C490" s="1">
        <v>1.2</v>
      </c>
      <c r="D490" s="1">
        <v>4.3</v>
      </c>
      <c r="E490" s="7" t="s">
        <v>183</v>
      </c>
      <c r="F490" s="7" t="s">
        <v>342</v>
      </c>
      <c r="G490" s="1" t="str">
        <f t="shared" si="14"/>
        <v>Sammy</v>
      </c>
      <c r="H490" s="1" t="str">
        <f t="shared" si="15"/>
        <v>04</v>
      </c>
    </row>
    <row r="491" spans="1:8" x14ac:dyDescent="0.35">
      <c r="A491" s="2" t="s">
        <v>169</v>
      </c>
      <c r="B491" s="11">
        <v>2014</v>
      </c>
      <c r="C491" s="1">
        <v>2.6</v>
      </c>
      <c r="D491" s="1">
        <v>4</v>
      </c>
      <c r="E491" s="7" t="s">
        <v>186</v>
      </c>
      <c r="F491" s="7" t="s">
        <v>343</v>
      </c>
      <c r="G491" s="1" t="str">
        <f t="shared" si="14"/>
        <v>Ellis</v>
      </c>
      <c r="H491" s="1" t="str">
        <f t="shared" si="15"/>
        <v>24</v>
      </c>
    </row>
    <row r="492" spans="1:8" x14ac:dyDescent="0.35">
      <c r="A492" s="2" t="s">
        <v>170</v>
      </c>
      <c r="B492" s="11">
        <v>2014</v>
      </c>
      <c r="C492" s="1">
        <v>2.1</v>
      </c>
      <c r="D492" s="1">
        <v>4</v>
      </c>
      <c r="E492" s="7" t="s">
        <v>186</v>
      </c>
      <c r="F492" s="7" t="s">
        <v>344</v>
      </c>
      <c r="G492" s="1" t="str">
        <f t="shared" si="14"/>
        <v>Hugo</v>
      </c>
      <c r="H492" s="1" t="str">
        <f t="shared" si="15"/>
        <v>24</v>
      </c>
    </row>
    <row r="493" spans="1:8" x14ac:dyDescent="0.35">
      <c r="A493" s="2" t="s">
        <v>171</v>
      </c>
      <c r="B493" s="11">
        <v>2014</v>
      </c>
      <c r="C493" s="1">
        <v>1.9</v>
      </c>
      <c r="D493" s="1">
        <v>4.5999999999999996</v>
      </c>
      <c r="E493" s="7" t="s">
        <v>186</v>
      </c>
      <c r="F493" s="7" t="s">
        <v>345</v>
      </c>
      <c r="G493" s="1" t="str">
        <f t="shared" si="14"/>
        <v>Caleb</v>
      </c>
      <c r="H493" s="1" t="str">
        <f t="shared" si="15"/>
        <v>04</v>
      </c>
    </row>
    <row r="494" spans="1:8" x14ac:dyDescent="0.35">
      <c r="A494" s="2" t="s">
        <v>172</v>
      </c>
      <c r="B494" s="11">
        <v>2014</v>
      </c>
      <c r="C494" s="1">
        <v>4.5999999999999996</v>
      </c>
      <c r="D494" s="1">
        <v>3.4</v>
      </c>
      <c r="E494" s="7" t="s">
        <v>186</v>
      </c>
      <c r="F494" s="7" t="s">
        <v>346</v>
      </c>
      <c r="G494" s="1" t="str">
        <f t="shared" si="14"/>
        <v>Tomas</v>
      </c>
      <c r="H494" s="1" t="str">
        <f t="shared" si="15"/>
        <v>42</v>
      </c>
    </row>
    <row r="495" spans="1:8" x14ac:dyDescent="0.35">
      <c r="A495" s="2" t="s">
        <v>173</v>
      </c>
      <c r="B495" s="11">
        <v>2014</v>
      </c>
      <c r="C495" s="1">
        <v>1.8</v>
      </c>
      <c r="D495" s="1">
        <v>3.6</v>
      </c>
      <c r="E495" s="7" t="s">
        <v>183</v>
      </c>
      <c r="F495" s="7" t="s">
        <v>347</v>
      </c>
      <c r="G495" s="1" t="str">
        <f t="shared" si="14"/>
        <v>Melanie</v>
      </c>
      <c r="H495" s="1" t="str">
        <f t="shared" si="15"/>
        <v>02</v>
      </c>
    </row>
    <row r="496" spans="1:8" x14ac:dyDescent="0.35">
      <c r="A496" s="2" t="s">
        <v>174</v>
      </c>
      <c r="B496" s="11">
        <v>2014</v>
      </c>
      <c r="C496" s="1">
        <v>3</v>
      </c>
      <c r="D496" s="1">
        <v>2.2999999999999998</v>
      </c>
      <c r="E496" s="7" t="s">
        <v>183</v>
      </c>
      <c r="F496" s="7" t="s">
        <v>348</v>
      </c>
      <c r="G496" s="1" t="str">
        <f t="shared" si="14"/>
        <v>Marlon</v>
      </c>
      <c r="H496" s="1" t="str">
        <f t="shared" si="15"/>
        <v>22</v>
      </c>
    </row>
    <row r="497" spans="1:8" x14ac:dyDescent="0.35">
      <c r="A497" s="2" t="s">
        <v>175</v>
      </c>
      <c r="B497" s="11">
        <v>2014</v>
      </c>
      <c r="C497" s="1">
        <v>0.7</v>
      </c>
      <c r="D497" s="1">
        <v>2.7</v>
      </c>
      <c r="E497" s="7" t="s">
        <v>183</v>
      </c>
      <c r="F497" s="7" t="s">
        <v>349</v>
      </c>
      <c r="G497" s="1" t="str">
        <f t="shared" si="14"/>
        <v>Jerald</v>
      </c>
      <c r="H497" s="1" t="str">
        <f t="shared" si="15"/>
        <v>02</v>
      </c>
    </row>
    <row r="498" spans="1:8" x14ac:dyDescent="0.35">
      <c r="A498" s="2" t="s">
        <v>176</v>
      </c>
      <c r="B498" s="11">
        <v>2014</v>
      </c>
      <c r="C498" s="1">
        <v>3</v>
      </c>
      <c r="D498" s="1">
        <v>0.6</v>
      </c>
      <c r="E498" s="7" t="s">
        <v>186</v>
      </c>
      <c r="F498" s="7" t="s">
        <v>350</v>
      </c>
      <c r="G498" s="1" t="str">
        <f t="shared" si="14"/>
        <v>Timmy</v>
      </c>
      <c r="H498" s="1" t="str">
        <f t="shared" si="15"/>
        <v>20</v>
      </c>
    </row>
    <row r="499" spans="1:8" x14ac:dyDescent="0.35">
      <c r="A499" s="2" t="s">
        <v>177</v>
      </c>
      <c r="B499" s="11">
        <v>2014</v>
      </c>
      <c r="C499" s="1">
        <v>2.9</v>
      </c>
      <c r="D499" s="1">
        <v>4</v>
      </c>
      <c r="E499" s="7" t="s">
        <v>183</v>
      </c>
      <c r="F499" s="7" t="s">
        <v>351</v>
      </c>
      <c r="G499" s="1" t="str">
        <f t="shared" si="14"/>
        <v>Perry</v>
      </c>
      <c r="H499" s="1" t="str">
        <f t="shared" si="15"/>
        <v>24</v>
      </c>
    </row>
  </sheetData>
  <conditionalFormatting sqref="B1:B1048576">
    <cfRule type="colorScale" priority="3">
      <colorScale>
        <cfvo type="min"/>
        <cfvo type="percentile" val="50"/>
        <cfvo type="max"/>
        <color rgb="FFF8696B"/>
        <color rgb="FFFFEB84"/>
        <color rgb="FF63BE7B"/>
      </colorScale>
    </cfRule>
  </conditionalFormatting>
  <conditionalFormatting sqref="L1:L104857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Scatter Chart</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dc:creator>
  <cp:lastModifiedBy>Jackline Kairuthi</cp:lastModifiedBy>
  <dcterms:created xsi:type="dcterms:W3CDTF">2017-04-24T16:35:26Z</dcterms:created>
  <dcterms:modified xsi:type="dcterms:W3CDTF">2026-03-03T21:14:32Z</dcterms:modified>
</cp:coreProperties>
</file>